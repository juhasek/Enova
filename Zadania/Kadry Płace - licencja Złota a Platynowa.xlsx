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Zadania\"/>
    </mc:Choice>
  </mc:AlternateContent>
  <bookViews>
    <workbookView xWindow="0" yWindow="0" windowWidth="0" windowHeight="0"/>
  </bookViews>
  <sheets>
    <sheet name="Porównanie" sheetId="1" r:id="rId1"/>
    <sheet name="Podsumowanie" sheetId="2" r:id="rId2"/>
    <sheet name="Bramki licencji w kodzie" sheetId="3" r:id="rId3"/>
    <sheet name="Uwagi" sheetId="4" r:id="rId4"/>
    <sheet name="Informacje" sheetId="5" r:id="rId5"/>
  </sheets>
  <definedNames>
    <definedName name="_xlnm._FilterDatabase" localSheetId="0" hidden="1">Porównanie!$A$1:$J$42</definedName>
    <definedName name="_xlnm._FilterDatabase" localSheetId="2" hidden="1">'Bramki licencji w kodzie'!$A$1:$I$68</definedName>
    <definedName name="_xlnm._FilterDatabase" localSheetId="3" hidden="1">Uwagi!$A$1:$E$8</definedName>
  </definedNames>
  <calcPr/>
</workbook>
</file>

<file path=xl/calcChain.xml><?xml version="1.0" encoding="utf-8"?>
<calcChain xmlns="http://schemas.openxmlformats.org/spreadsheetml/2006/main">
  <c i="2" l="1" r="B7"/>
  <c r="B6"/>
  <c r="B5"/>
</calcChain>
</file>

<file path=xl/sharedStrings.xml><?xml version="1.0" encoding="utf-8"?>
<sst xmlns="http://schemas.openxmlformats.org/spreadsheetml/2006/main">
  <si>
    <t>Lp</t>
  </si>
  <si>
    <t>Obszar</t>
  </si>
  <si>
    <t>Funkcjonalność</t>
  </si>
  <si>
    <t>Opis (wg dokumentu enova)</t>
  </si>
  <si>
    <t>Srebrna</t>
  </si>
  <si>
    <t>Złota</t>
  </si>
  <si>
    <t>Platynowa</t>
  </si>
  <si>
    <t>Różnica Złota ↔ Platynowa</t>
  </si>
  <si>
    <t>Co pokazuje kod enova 2512.5.6</t>
  </si>
  <si>
    <t>Zgodność dokumentu z kodem</t>
  </si>
  <si>
    <t>Podstawy</t>
  </si>
  <si>
    <t>Kadry</t>
  </si>
  <si>
    <t>Ewidencja kadrowa: kartoteka pracownika, etat, umowy, historia zatrudnienia. (opis własny – dokument nie opisuje)</t>
  </si>
  <si>
    <t>✔</t>
  </si>
  <si>
    <t>Wszystkie wersje</t>
  </si>
  <si>
    <t>Brak ograniczeń zależnych od koloru licencji.</t>
  </si>
  <si>
    <t>Zgodne</t>
  </si>
  <si>
    <t>Płace</t>
  </si>
  <si>
    <t>Listy płac, wypłaty, elementy wynagrodzenia, podatki i składki. (opis własny – dokument nie opisuje)</t>
  </si>
  <si>
    <t>Lista płac dostępna z każdą licencją Kadr i Płac (klasa ListaPlac: licencja PL = Srebrna, Złota, Platynowa).</t>
  </si>
  <si>
    <t>Deklaracje (PIT, ZUS, PFRON, e-deklaracje)</t>
  </si>
  <si>
    <t>Deklaracje PFRON – program sporządza wniosek o wypłatę miesięcznego dofinansowania do wynagrodzeń pracowników niepełnosprawnych (Wn-D).</t>
  </si>
  <si>
    <t>—</t>
  </si>
  <si>
    <t>Nie weryfikowano (poza kodem Kadr i Płac)</t>
  </si>
  <si>
    <t>Wydruki</t>
  </si>
  <si>
    <t>Budowanie wydruków w dowolnym układzie na danych z programu; każdy wydruk można przesłać do MS Office i tam modyfikować.</t>
  </si>
  <si>
    <t>Deklaracje GUS</t>
  </si>
  <si>
    <t>Podkładki pod deklaracje DG-1, Z-02, Z-03, Z-06; możliwość zdefiniowania Z-12 na etapie wdrożenia.</t>
  </si>
  <si>
    <t>Złota i Platynowa</t>
  </si>
  <si>
    <t>Czas pracy</t>
  </si>
  <si>
    <t>Definicje własnych kalendarzy (rozszerzona konfiguracja)</t>
  </si>
  <si>
    <t>Indywidualne rozkłady czasu pracy (także równoważny czas pracy, różne okresy rozliczeniowe), odstępstwa od grafiku, rozliczanie nadgodzin do odbioru jako dzień wolny lub do wypłaty.</t>
  </si>
  <si>
    <t>Tylko Platynowa: „Edycja algorytmu” i „Wersjonowanie kalendarza” na definicji kalendarza.</t>
  </si>
  <si>
    <t>Zgodne (z uwagą)</t>
  </si>
  <si>
    <t>Definiowalny mechanizm weryfikatorów normy i czasu pracy</t>
  </si>
  <si>
    <t>Własne ostrzeżenia i blokady przy planowaniu czasu pracy pracownika.</t>
  </si>
  <si>
    <t>Tylko Platynowa</t>
  </si>
  <si>
    <t>Nie znaleziono sprawdzenia licencji w definicjach weryfikatorów kalendarza – ograniczenie może być zrobione inaczej.</t>
  </si>
  <si>
    <t>Nie potwierdzono w kodzie</t>
  </si>
  <si>
    <t>Planowanie nieobecności</t>
  </si>
  <si>
    <t>Planowanie nieobecności w przyszłości (np. urlopy dłuższe niż 14 dni); po zatwierdzeniu stają się nieobecnościami.</t>
  </si>
  <si>
    <t>Tylko Platynowa: menu „Czas pracy/Planowane nieobecności”, pole „Planowana” w definicji nieobecności, listy planowanych nieobecności na pulpicie pracownika i kierownika.</t>
  </si>
  <si>
    <t>Obsługa PKZP (pracowniczej kasy zapomogowo-pożyczkowej)</t>
  </si>
  <si>
    <t>Rejestracja wpisowego i składek, pożyczki z harmonogramem spłat, żyranci, raporty, własne fundusze pożyczkowe.</t>
  </si>
  <si>
    <t>Menu „KZP, ZFM, ...” i „Pożyczki” – Złota i Platynowa. Tylko Platynowa: wydziały na definicji funduszu pożyczkowego.</t>
  </si>
  <si>
    <t>Załączniki – możliwość podpięcia dodatkowych plików</t>
  </si>
  <si>
    <t>Podpinanie plików do obiektów w programie. (opis własny – dokument nie opisuje)</t>
  </si>
  <si>
    <t>Obsługa ZFM (zakładowego funduszu mieszkaniowego)</t>
  </si>
  <si>
    <t>Jak PKZP: wkłady, pożyczki z harmonogramem spłat, żyranci, raporty.</t>
  </si>
  <si>
    <t>Wspólne menu z PKZP („KZP, ZFM, ...”) – Złota i Platynowa.</t>
  </si>
  <si>
    <t>Rozbudowana kartoteka pracownika</t>
  </si>
  <si>
    <t>Dodatkowe drzewko Kadry | Pozostałe: dane statystyczne GUS, kursy i szkolenia, nagrody i kary, świadczenia socjalne, wypadki, schorzenia.</t>
  </si>
  <si>
    <t>Seryjne dodawanie świadczeń socjalnych – Złota i Platynowa. Zbiorcze listy tych danych („Kadry/Ewidencje”) – dopiero Platynowa (Lp 22).</t>
  </si>
  <si>
    <t>Urządzenia zewnętrzne – czytniki RCP</t>
  </si>
  <si>
    <t>Współpraca z dowolnymi czytnikami rejestracji czasu pracy.</t>
  </si>
  <si>
    <t>Czynność „Import WeWy” na dniu pracy – Złota i Platynowa.</t>
  </si>
  <si>
    <t>Automatyczne zaczytywanie plików txt z czytników RCP</t>
  </si>
  <si>
    <t>Automatyczny import plików z czytników RCP. (opis własny – dokument nie opisuje)</t>
  </si>
  <si>
    <t>Strony importu RCP (ręczny i automatyczny) – tylko Platynowa. Menu „Dane z RCP” i „Oryginalne dane z RCP” – Platynowa albo dodatkowa licencja PZN.</t>
  </si>
  <si>
    <t>Definicje własnych elementów wynagrodzenia (rozszerzona konfiguracja)</t>
  </si>
  <si>
    <t>Własne elementy wynagrodzenia z wzorami algorytmów. W Srebrnej tylko prosty dodatek kwotowy (oskładkowany i opodatkowany).</t>
  </si>
  <si>
    <t>Zakładka „Algorytm” definicji elementu – Złota i Platynowa; kreator algorytmu w Srebrnej ma ograniczoną listę podstaw. Tylko Platynowa: „Rodzaj naliczania” (planowane / rzeczywiste).</t>
  </si>
  <si>
    <t>Rozliczanie umów cywilnoprawnych według „stawki za godzinę”</t>
  </si>
  <si>
    <t>Opcja rozliczenia „Stawka za godzinę” włącza zakładkę „Zestawienie realizacji” do wprowadzenia czasu pracy za okres.</t>
  </si>
  <si>
    <t>Bez Złotej/Platynowej lista „Rodzaj rozliczenia” umowy ma tylko „Kwota do wypłaty” i „Stawka za okres”.</t>
  </si>
  <si>
    <t>Definiowalne rodzaje oraz dowolna numeracja list płac</t>
  </si>
  <si>
    <t>Osobna lista płac i osobna numeracja dla każdej grupy pracowniczej.</t>
  </si>
  <si>
    <t>Na liście płac wydział i naliczanie „płatna z góry” – Złota i Platynowa; w Srebrnej naliczanie seryjne zawsze „płatna z dołu”.</t>
  </si>
  <si>
    <t>Definicje własnych wydziałów (rozszerzona konfiguracja)</t>
  </si>
  <si>
    <t>Własna struktura wydziałów firmy. (opis własny – dokument nie opisuje)</t>
  </si>
  <si>
    <t>Wydział na etacie, umowie, akordzie i liście płac – Złota i Platynowa (w Srebrnej zawsze „Firma”). Tylko Platynowa: „Wydziały historyczne”, „Segmentowy kod wydziału”, czynność „Operacje seryjne/Zaktualizuj wydział”.</t>
  </si>
  <si>
    <t>Przeszeregowanie pracowników</t>
  </si>
  <si>
    <t>Grupowa zmiana stawki (procent, kwota, ta sama kwota), wypłata nagrody, nowy dodatek, zmiana wartości dodatku, zakończenie wypłaty dodatku.</t>
  </si>
  <si>
    <t>Wszystkie 8 czynności „Przeszeregowanie/…” – tylko Platynowa.</t>
  </si>
  <si>
    <t>Szkolenia i HR</t>
  </si>
  <si>
    <t>Moduł Szkolenia – wersja podstawowa</t>
  </si>
  <si>
    <t>Ewidencja szkoleń, dostawców szkoleń, ukończonych szkoleń i wniosków o szkolenia.</t>
  </si>
  <si>
    <t>Menu Szkolenia: Szkolenia, Ukończone szkolenia, Definicje szkoleń, Definicje uprawnień, Dostawcy, Wnioski o szkolenia; czynność „Szkolenia/Dodaj wnioski” – Złota i Platynowa.</t>
  </si>
  <si>
    <t>Moduł Szkolenia – wersja rozszerzona</t>
  </si>
  <si>
    <t>Dodatkowo budżety szkoleń i oferty szkoleniowe.</t>
  </si>
  <si>
    <t>Tylko Platynowa: menu „Budżety szkoleń”, „Oferty szkoleń”, „Uprawnienia” (lista uprawnień pracowników), pole „Kategoria” w definicji szkolenia i uprawnienia.</t>
  </si>
  <si>
    <t>Dodatkowe ewidencje (listy) kadrowe</t>
  </si>
  <si>
    <t>Listy: badań lekarskich, szkoleń BHP, kar i nagród, oświadczeń, członków rodziny, planowanych nieobecności, wejść/wyjść, wniosków urlopowych, elementów wypłat.</t>
  </si>
  <si>
    <t>Tylko Platynowa: menu „Kadry/Ewidencje” (Badania lekarskie, Szkolenia BHP, Nagrody i kary, Oświadczenia, Rodzina pracowników, Wypadki, Umowy o pracę, Struktury organizacyjne, Dokumenty dodatkowe, Praca zdalna). Lista wniosków urlopowych: Platynowa albo Złota + licencja PLN. Lista elementów wypłat: Platynowa albo niższa + AWW/BI.</t>
  </si>
  <si>
    <t>Konfiguracja</t>
  </si>
  <si>
    <t>Wielooddziałowość</t>
  </si>
  <si>
    <t>Jedna baza dla firmy z jednym NIP i oddziałami: wspólne lub odrębne dane, deklaracje PIT i ZUS dla firmy lub oddziałów, odpis PFRON/ZFRON na PIT-4R per oddział.</t>
  </si>
  <si>
    <t>Szkolenia BHP</t>
  </si>
  <si>
    <t>Ewidencja szkoleń BHP pracownika. (opis własny – dokument nie opisuje)</t>
  </si>
  <si>
    <t>W kartotece we wszystkich wersjach; zbiorcza lista „Kadry/Ewidencje/Szkolenia BHP” – tylko Platynowa.</t>
  </si>
  <si>
    <t>Zajęcia komornicze</t>
  </si>
  <si>
    <t>Ewidencja zajęć wynagrodzenia i potrąceń komorniczych. (opis własny – dokument nie opisuje)</t>
  </si>
  <si>
    <t>W kartotece we wszystkich wersjach; zbiorcze menu „Płace/Zajęcia wynagrodzenia” – tylko Platynowa.</t>
  </si>
  <si>
    <t>Magazyn nadgodzin</t>
  </si>
  <si>
    <t>Gromadzenie nadgodzin i ich późniejszy odbiór lub wypłata. (opis własny – dokument nie opisuje)</t>
  </si>
  <si>
    <t>Parametr „Magazyn nadgodzin” (konfiguracja nadgodzin) – Platynowa albo Złota + licencja PZN.</t>
  </si>
  <si>
    <t>Pracownicze Plany Kapitałowe</t>
  </si>
  <si>
    <t>Naliczanie składek PPK, deklaracje zgłoszeniowe, ewidencja przystąpień i rezygnacji, środki wg źródeł, integracja z instytucją finansową.</t>
  </si>
  <si>
    <t>Zbiorcza lista „Kadry/Ewidencja PPK” – Złota i Platynowa.</t>
  </si>
  <si>
    <t>e-dokumentacja pracownicza</t>
  </si>
  <si>
    <t>Cyfrowy odpowiednik papierowej dokumentacji pracowniczej.</t>
  </si>
  <si>
    <t>Menu „Elektroniczna dokumentacja pracownicza” i parametr „Teczki pracownicze” – Złota i Platynowa.</t>
  </si>
  <si>
    <t>e-zwolnienia</t>
  </si>
  <si>
    <t>Wczytanie e-zwolnień lekarskich z pliku .csv wyeksportowanego z PUE ZUS (Panel Płatnika).</t>
  </si>
  <si>
    <t>Obsługa Agencji Pracy Tymczasowej</t>
  </si>
  <si>
    <t>Kartoteka pracownika tymczasowego, limit urlopu, czas pracy, wynagrodzenie, ekwiwalent, świadectwo pracy.</t>
  </si>
  <si>
    <t>Menu „Kadry/Umowy zewnętrzne” – Złota i Platynowa. ALE parametr „Umowy zewnętrzne” (konfiguracja Kadry/Ogólne) bez Platynowej jest ukryty i zawsze „Nie”, a od niego zależy zakładka umów B2B/APT w kartotece.</t>
  </si>
  <si>
    <t>Rozbieżność – do weryfikacji</t>
  </si>
  <si>
    <t>Archiwum kartoteki pracownika</t>
  </si>
  <si>
    <t>Przenoszenie kartoteki pracownika do archiwum.</t>
  </si>
  <si>
    <t>Nie znaleziono sprawdzenia licencji w czynnościach archiwizacji.</t>
  </si>
  <si>
    <t>ZZL (rekrutacja, oceny, stan zatrudnienia, ścieżka kariery)</t>
  </si>
  <si>
    <t>Oceny pracowników i kandydatów, stan zatrudnienia na dzień, rekrutacja i jej etapy, ścieżki kariery.</t>
  </si>
  <si>
    <t>Menu ZZL, ZZL/Oceny, ZZL/Stanowiska, Etapy rekrutacji – Platynowa albo osobny moduł ZZL (Złoty). Rekrutacja (Wakaty, Ogłoszenia, Aplikacje, Stan zatrudnienia) i Oceny/Arkusze ocen – tylko Platynowa.</t>
  </si>
  <si>
    <t>Moduły dodatkowe</t>
  </si>
  <si>
    <t>Pracownicy Eksportowi, Pracownicy Uczelni, Koszty Projektów, Praca na wielu bazach, Zbiorcza Edycja Czasu, Zarządzanie Odzieżą Roboczą, 4Trans, Pakiet mobilności (kierowcy).</t>
  </si>
  <si>
    <t>Osobne licencje – nie dotyczy.</t>
  </si>
  <si>
    <t>Limity nieobecności (lista zbiorcza)</t>
  </si>
  <si>
    <t>Lista „Kadry/Czas pracy/Limity nieobecności” z naliczonymi limitami urlopowymi pracowników.</t>
  </si>
  <si>
    <t>Menu „Czas pracy/Limity nieobecności” – tylko Platynowa. Limity w kartotece są we wszystkich wersjach.</t>
  </si>
  <si>
    <t>Definicje funkcji</t>
  </si>
  <si>
    <t>Definicje funkcji (jak definicje stanowisk) w Narzędzia/Opcje/Kadry i płace/ZZL; wybór w kartotece (Etat/Ogólne) lub na definicji stanowiska.</t>
  </si>
  <si>
    <t>Nie znaleziono sprawdzenia licencji w kodzie C# (pole jest na formularzach etatu i definicji stanowiska).</t>
  </si>
  <si>
    <t>Obsługa pracy zdalnej</t>
  </si>
  <si>
    <t>Rodzaje pracy zdalnej, okresy w kartotece, oświadczenie o warunkach lokalowo-technicznych, lokalizacja.</t>
  </si>
  <si>
    <t>Ewidencja w kartotece – wszystkie wersje. Zbiorcze listy „Ewidencje/Praca zdalna” i „…lokalizacje” – Platynowa. Zestawienia dnia („moduł pracy hybrydowej”) – Platynowa albo Złota + PZN. Grupowe zlecenie pracy zdalnej na pulpicie kierownika – Platynowa.</t>
  </si>
  <si>
    <t>Mechanizm weryfikacji czasu pracy</t>
  </si>
  <si>
    <t>Analiza czasu pracy z RCP, pulpitów i PUE; zestawienia czasu pracy i operacje seryjne dla HR i kierowników.</t>
  </si>
  <si>
    <t>Menu „Rozliczenie czasu pracy” i „…– dokumenty” – Platynowa albo PZN. Definicje algorytmów RCP – Platynowa albo Złota + PKN + PLN + PZN. „Dokumenty aktualizacji kalendarzy” i „Zestawienia” – tylko Platynowa.</t>
  </si>
  <si>
    <t>Automatyczny import nieobecności z PUE ZUS</t>
  </si>
  <si>
    <t>Import nieobecności z PUE bez logowania na portal PUE ZUS.</t>
  </si>
  <si>
    <t>Menu „Import nieobecności z PUE” i czynności Importuj / Nanieś / Odrzuć / Przywróć – Złota i Platynowa.</t>
  </si>
  <si>
    <t>Mechanizmy cech oraz zadań systemowych</t>
  </si>
  <si>
    <t>Cechy – własne pola na dowolnych obiektach (tekst, liczba, kwota, słownik, algorytm, data). Zadania systemowe – przypomnienia, e-maile, dodatkowa weryfikacja danych, automatycznie lub na żądanie.</t>
  </si>
  <si>
    <t>Ochrona danych osobowych zgodnie z RODO</t>
  </si>
  <si>
    <t>Ochrona danych osobowych zgodnie z rozporządzeniem RODO.</t>
  </si>
  <si>
    <t>Menu „Ochrona danych osobowych” (Oświadczenia, Uprawnienia, Wymiana danych) – Złota i Platynowa, czyli zbiorcze ewidencje RODO dopiero od Złotej.</t>
  </si>
  <si>
    <t>Interface anglojęzyczny</t>
  </si>
  <si>
    <t>Pełne tłumaczenie programu na język angielski.</t>
  </si>
  <si>
    <t>enova365 Kadry Płace – licencja Złota a Platynowa</t>
  </si>
  <si>
    <t>Liczby wyliczane formułami z arkusza „Porównanie” (41 funkcji z dokumentu enova).</t>
  </si>
  <si>
    <t>Dostępność</t>
  </si>
  <si>
    <t>Liczba funkcji</t>
  </si>
  <si>
    <t>Funkcje</t>
  </si>
  <si>
    <t>Definiowalny mechanizm weryfikatorów normy i czasu pracy, Planowanie nieobecności, Automatyczne zaczytywanie plików txt z czytników RCP, Przeszeregowanie pracowników, Moduł Szkolenia – wersja rozszerzona, Dodatkowe ewidencje (listy) kadrowe, Wielooddziałowość, Magazyn nadgodzin, ZZL (rekrutacja, oceny, stan zatrudnienia, ścieżka kariery), Limity nieobecności (lista zbiorcza), Definicje funkcji, Mechanizm weryfikacji czasu pracy, Interface anglojęzyczny</t>
  </si>
  <si>
    <t>Deklaracje GUS, Definicje własnych kalendarzy (rozszerzona konfiguracja), Obsługa PKZP (pracowniczej kasy zapomogowo-pożyczkowej), Załączniki – możliwość podpięcia dodatkowych plików, Obsługa ZFM (zakładowego funduszu mieszkaniowego), Rozbudowana kartoteka pracownika, Urządzenia zewnętrzne – czytniki RCP, Definicje własnych elementów wynagrodzenia (rozszerzona konfiguracja), Rozliczanie umów cywilnoprawnych według „stawki za godzinę”, Definiowalne rodzaje oraz dowolna numeracja list płac, Definicje własnych wydziałów (rozszerzona konfiguracja), Moduł Szkolenia – wersja podstawowa, e-dokumentacja pracownicza, Obsługa Agencji Pracy Tymczasowej, Archiwum kartoteki pracownika, Moduły dodatkowe, Automatyczny import nieobecności z PUE ZUS, Mechanizmy cech oraz zadań systemowych</t>
  </si>
  <si>
    <t>Kadry, Płace, Deklaracje (PIT, ZUS, PFRON, e-deklaracje), Wydruki, Szkolenia BHP, Zajęcia komornicze, Pracownicze Plany Kapitałowe, e-zwolnienia, Obsługa pracy zdalnej, Ochrona danych osobowych zgodnie z RODO</t>
  </si>
  <si>
    <t>Najważniejsze różnice w praktyce</t>
  </si>
  <si>
    <t>• Platynowa to Złota plus: przeszeregowania, planowane listy płac i planowanie nieobecności, magazyn nadgodzin, weryfikacja i rozliczenie czasu pracy z RCP, dodatkowe zbiorcze ewidencje kadrowe, rozszerzone szkolenia, ZZL (rekrutacja, oceny), wielooddziałowość, interfejs angielski.</t>
  </si>
  <si>
    <t>• Złota to Srebrna plus: własne algorytmy elementów wynagrodzenia, wydziały, rodzaje list płac, PKZP/ZFM, e-teczki, szkolenia podstawowe, import z PUE, cechy i zadania systemowe, Agencja Pracy Tymczasowej (w kodzie zależna od Platynowej – arkusz „Uwagi”).</t>
  </si>
  <si>
    <t>• Część funkcji Platynowej działa w Złotej z dodatkowymi licencjami: moduł ZZL albo licencje „Net” PZN / PKN / PLN (szczegóły w arkuszu „Bramki licencji w kodzie”).</t>
  </si>
  <si>
    <t>• Rozbieżności między dokumentem enova a kodem opisuje arkusz „Uwagi”.</t>
  </si>
  <si>
    <t>Element w programie</t>
  </si>
  <si>
    <t>Rodzaj</t>
  </si>
  <si>
    <t>Warunek licencji w kodzie</t>
  </si>
  <si>
    <t>Źródło (biblioteka – klasa)</t>
  </si>
  <si>
    <t>Lp w arkuszu „Porównanie”</t>
  </si>
  <si>
    <t>Kadry/Czas pracy/Planowane nieobecności</t>
  </si>
  <si>
    <t>Menu</t>
  </si>
  <si>
    <t>PL_Platynowy</t>
  </si>
  <si>
    <t>Soneta.KadryPlace.UI.dll – FolderView</t>
  </si>
  <si>
    <t>8</t>
  </si>
  <si>
    <t>Kadry/Czas pracy/Limity nieobecności</t>
  </si>
  <si>
    <t>34</t>
  </si>
  <si>
    <t>Kadry/Czas pracy/Dokumenty aktualizacji kalendarzy</t>
  </si>
  <si>
    <t>37</t>
  </si>
  <si>
    <t>Zestawienia czasu pracy</t>
  </si>
  <si>
    <t>Soneta.KadryPlace.UI.dll – KadryZestawieniaViewInfo</t>
  </si>
  <si>
    <t>Definicja kalendarza – „Edycja algorytmu”, „Wersjonowanie kalendarza”</t>
  </si>
  <si>
    <t>Pole / parametr</t>
  </si>
  <si>
    <t>Soneta.KadryPlace.UI.dll – KalendarzExtender</t>
  </si>
  <si>
    <t>6</t>
  </si>
  <si>
    <t>Definicja nieobecności – „Planowana”</t>
  </si>
  <si>
    <t>Soneta.KadryPlace.dll – DefinicjaNieobecnosci</t>
  </si>
  <si>
    <t>Kadry i płace/ZFŚS, ZFŚS/Świadczenia socjalne</t>
  </si>
  <si>
    <t>brak w dokumencie</t>
  </si>
  <si>
    <t>Kadry/Ewidencje: Badania lekarskie, Szkolenia BHP, Nagrody i kary, Oświadczenia, Rodzina pracowników, Wypadki, Umowy o pracę, Struktury organizacyjne, Dokumenty dodatkowe, Praca zdalna, Praca zdalna – lokalizacje</t>
  </si>
  <si>
    <t>22, 24, 36</t>
  </si>
  <si>
    <t>Operacje seryjne/Zaktualizuj pracowników wg def. stanowiska</t>
  </si>
  <si>
    <t>Czynność</t>
  </si>
  <si>
    <t>Soneta.KadryPlace.dll – AktualizacjaDefinicjiStanowiskaWorker</t>
  </si>
  <si>
    <t>Operacje seryjne/Zaktualizuj wydział...</t>
  </si>
  <si>
    <t>Soneta.KadryPlace.dll – AktualizujWydzialyWorker</t>
  </si>
  <si>
    <t>18</t>
  </si>
  <si>
    <t>Kopiuj z definicji stanowiska (czynności szkodliwe; opis stanowiska)</t>
  </si>
  <si>
    <t>Soneta.KadryPlace.dll – CzynnSzkodPrac; Soneta.KadryPlace.UI.dll – KopiujOpisZDefinicjiStanowiskaWorker</t>
  </si>
  <si>
    <t>Definicja funduszu pożyczkowego – wydziały</t>
  </si>
  <si>
    <t>Soneta.KadryPlace.UI.dll – DefFunduszuExtender, DefFunduszuWydzialyExtender</t>
  </si>
  <si>
    <t>9</t>
  </si>
  <si>
    <t>Kadry/Ogólne – „Wydziały historyczne”, „Segmentowy kod wydziału”</t>
  </si>
  <si>
    <t>Soneta.KadryPlace.dll – Soneta.Kadry.Config.Ogólne</t>
  </si>
  <si>
    <t>Kadry/Ogólne – „Umowy zewnętrzne” (bez Platynowej ukryty i zawsze „Nie”; od niego zależy zakładka umów B2B/APT w kartotece)</t>
  </si>
  <si>
    <t>Soneta.KadryPlace.dll – Soneta.Kadry.Config.Ogólne; Soneta.KadryPlace.UI.dll – PracownikUmowyZewnetrzneExtender</t>
  </si>
  <si>
    <t>30</t>
  </si>
  <si>
    <t>Kalendarze/UI – „Wyświetlaj strefy”</t>
  </si>
  <si>
    <t>dowolna licencja Platynowa</t>
  </si>
  <si>
    <t>Soneta.KadryPlace.dll – Soneta.Kalend.Config.KalendUI</t>
  </si>
  <si>
    <t>Płace/Planowane listy płac</t>
  </si>
  <si>
    <t>Soneta.KadryPlace.UI.dll – FolderView; Soneta.KadryPlace.dll – PlanowanaListaPłac</t>
  </si>
  <si>
    <t>Płace/Zajęcia wynagrodzenia</t>
  </si>
  <si>
    <t>25</t>
  </si>
  <si>
    <t>Przeszeregowanie/Wykonaj, Edycja, Zmiana stawki zaszeregowania, Wypłata nagrody, Wypłata nowego dodatku, Dodanie lub zmiana dodatku, Zmień dodatek, Zakończenie wypłaty dodatku</t>
  </si>
  <si>
    <t>Soneta.KadryPlace.dll – Soneta.Przeszeregowania</t>
  </si>
  <si>
    <t>19</t>
  </si>
  <si>
    <t>Nalicz planowane listy płac...</t>
  </si>
  <si>
    <t>Soneta.KadryPlace.dll – NaliczaniePlanowanychListPłacWorker</t>
  </si>
  <si>
    <t>Definicja elementu – „Rodzaj naliczania” (planowane / rzeczywiste); to samo pole na dodatkach w kartotece</t>
  </si>
  <si>
    <t>Soneta.KadryPlace.dll – DefinicjaElementu; Soneta.KadryPlace.UI.dll – EtatDodatkiExtender</t>
  </si>
  <si>
    <t>Wypłata przelewem – paczka przelewów / definicja paczki</t>
  </si>
  <si>
    <t>PL_Platynowy albo Platynowa Księgowości lub Handlu</t>
  </si>
  <si>
    <t>Soneta.KadryPlace.dll – ListaPlac</t>
  </si>
  <si>
    <t>Pulpit kierownika</t>
  </si>
  <si>
    <t>Grupowa wypłata premii, Grupowa zmiana miejsca, Grupowe zlecenie nadgodzin, Grupowe zlecenie pracy zdalnej</t>
  </si>
  <si>
    <t>Soneta.KadryPlace.UI.dll – Soneta.Kadry.UI.KadryNet.Workers</t>
  </si>
  <si>
    <t>36 (częściowo)</t>
  </si>
  <si>
    <t>e-wniosek: Grupowy wniosek o premię</t>
  </si>
  <si>
    <t>Soneta.KadryPlace.dll – GrupowyWniosekOPremie</t>
  </si>
  <si>
    <t>Szkolenia: Budżety szkoleń, Oferty szkoleń, Uprawnienia</t>
  </si>
  <si>
    <t>21</t>
  </si>
  <si>
    <t>Rekrutacja: Zgłoszone wakaty, Ogłoszenia o pracę, Aplikacje, Rekrutacja, Stan zatrudnienia</t>
  </si>
  <si>
    <t>32</t>
  </si>
  <si>
    <t>Oceny: Arkusze ocen, Oceny</t>
  </si>
  <si>
    <t>Definicja szkolenia i definicja uprawnienia – „Kategoria”</t>
  </si>
  <si>
    <t>Soneta.KadryPlace.dll – DefinicjaSzkolenia, DefinicjaUprawnienia</t>
  </si>
  <si>
    <t>Kadry/Czas pracy: Nieobecności, Grafiki, Statystyki czasu pracy, Import nieobecności z PUE</t>
  </si>
  <si>
    <t>PL_Złoty lub PL_Platynowy</t>
  </si>
  <si>
    <t>38</t>
  </si>
  <si>
    <t>Kadry/Czas pracy/Wnioski o urlopy, delegacje</t>
  </si>
  <si>
    <t>z licencją PLN</t>
  </si>
  <si>
    <t>PL_Platynowy albo (PL_Złoty i PLN)</t>
  </si>
  <si>
    <t>Soneta.KadryPlace.UI.dll – KadryWnioskiUrlopoweViewInfo.IsVisible</t>
  </si>
  <si>
    <t>22</t>
  </si>
  <si>
    <t>Kadry/Czas pracy/Rozliczenie czasu pracy, Rozliczenie czasu pracy – dokumenty</t>
  </si>
  <si>
    <t>z licencją PZN</t>
  </si>
  <si>
    <t>PL_Platynowy albo PZN</t>
  </si>
  <si>
    <t>Kadry/Czas pracy/Dane z RCP, Oryginalne dane z RCP</t>
  </si>
  <si>
    <t>14</t>
  </si>
  <si>
    <t>Import WeWy (dzień pracy)</t>
  </si>
  <si>
    <t>Soneta.KadryPlace.dll – ImportDniaWorker</t>
  </si>
  <si>
    <t>13</t>
  </si>
  <si>
    <t>PUE: Importuj, Nanieś, Odrzuć, Przywróć, Importuj oddziały</t>
  </si>
  <si>
    <t>Soneta.KadryPlace.dll – Soneta.Kalend.PUEServiceWorkers</t>
  </si>
  <si>
    <t>Uzgodnij dobę pracowniczą</t>
  </si>
  <si>
    <t>z licencją PKN</t>
  </si>
  <si>
    <t>PL_Złoty/PL_Platynowy albo PKN</t>
  </si>
  <si>
    <t>Soneta.KadryPlace.dll – DzienPracy.UzgodnijDobePracowniczaWorker</t>
  </si>
  <si>
    <t>Dokument aktualizacji kalendarza: Generuj planowanie, Wybierz źródła czasu / planu</t>
  </si>
  <si>
    <t>z PKN lub PLN</t>
  </si>
  <si>
    <t>PL_Złoty/PL_Platynowy albo PKN albo PLN</t>
  </si>
  <si>
    <t>Soneta.KadryPlace.dll, Soneta.KadryPlace.UI.dll – DokumentAktualizacjiKalendarza</t>
  </si>
  <si>
    <t>Zestawienie dnia pracy (praca hybrydowa)</t>
  </si>
  <si>
    <t>Zachowanie</t>
  </si>
  <si>
    <t>PL_Platynowy albo (PL_Złoty/PL_Platynowy i PZN); inaczej błąd „Brak praw do modułu pracy hybrydowej”</t>
  </si>
  <si>
    <t>Soneta.KadryPlace.dll – DzienZestawienieAction.LicencjaPZ</t>
  </si>
  <si>
    <t>36, 37</t>
  </si>
  <si>
    <t>Kadry i płace/KZP, ZFM, ... (w tym Pożyczki)</t>
  </si>
  <si>
    <t>9, 11</t>
  </si>
  <si>
    <t>Kadry/Akordy</t>
  </si>
  <si>
    <t>Kadry/Dodatki i potrącenia</t>
  </si>
  <si>
    <t>Kadry/Umowy i Płace/Umowy (umowy cywilnoprawne)</t>
  </si>
  <si>
    <t>16</t>
  </si>
  <si>
    <t>Kadry/Umowy zewnętrzne</t>
  </si>
  <si>
    <t>Kadry/Elektroniczna dokumentacja pracownicza</t>
  </si>
  <si>
    <t>28</t>
  </si>
  <si>
    <t>Kadry/Ewidencja PPK</t>
  </si>
  <si>
    <t>27</t>
  </si>
  <si>
    <t>Ochrona danych osobowych: Oświadczenia, Uprawnienia, Wymiana danych</t>
  </si>
  <si>
    <t>40</t>
  </si>
  <si>
    <t>Operacje seryjne/Dodaj umowy...</t>
  </si>
  <si>
    <t>Soneta.KadryPlace.dll – Pracownik.DodajUmowęWorker</t>
  </si>
  <si>
    <t>Operacje seryjne/Dodaj świadczenia socjalne...</t>
  </si>
  <si>
    <t>Soneta.KadryPlace.dll – SwiadczSocjalne</t>
  </si>
  <si>
    <t>12</t>
  </si>
  <si>
    <t>Dodaj zestaw dodatków (seryjnie)</t>
  </si>
  <si>
    <t>Soneta.KadryPlace.dll – DodajZestawBaseWorker</t>
  </si>
  <si>
    <t>Dodatki i potrącenia/Zakończ wypłatę dla osób zwolnionych</t>
  </si>
  <si>
    <t>Soneta.KadryPlace.dll – ZakonczDodatkiWorker</t>
  </si>
  <si>
    <t>Akordy/Dodaj nowy..., Akordy/Zakończ...</t>
  </si>
  <si>
    <t>Soneta.KadryPlace.dll – Pracownik.DodajAkordWorker / ZakończAkordWorker</t>
  </si>
  <si>
    <t>Struktura organizacyjna/Dodaj lub modyfikuj powiązania..., Usuń powiązania...</t>
  </si>
  <si>
    <t>Soneta.KadryPlace.dll – Pracownik (powiązania struktury)</t>
  </si>
  <si>
    <t>Etat, umowa, akord – wydział (w Srebrnej ustawiany na „Firma”)</t>
  </si>
  <si>
    <t>Soneta.KadryPlace.dll – Etat, Umowa, Akord</t>
  </si>
  <si>
    <t>Umowa cywilnoprawna – pełna lista „Rodzaj rozliczenia” (w tym stawka za godzinę)</t>
  </si>
  <si>
    <t>Soneta.KadryPlace.dll – Umowa</t>
  </si>
  <si>
    <t>Etat – „Definicja stanowiska”</t>
  </si>
  <si>
    <t>z modułem ZZL</t>
  </si>
  <si>
    <t>PL_Platynowy albo ZZL_Złoty</t>
  </si>
  <si>
    <t>Soneta.KadryPlace.dll – Etat</t>
  </si>
  <si>
    <t>Przestój – definicja strefy</t>
  </si>
  <si>
    <t>Soneta.KadryPlace.dll – DodajPrzestojWorker</t>
  </si>
  <si>
    <t>Kadry/Ogólne – „Teczki pracownicze”, „Wymagane wprowadzenie wydziału”</t>
  </si>
  <si>
    <t>18, 28</t>
  </si>
  <si>
    <t>Nadgodziny – „Magazyn nadgodzin”</t>
  </si>
  <si>
    <t>PL_Platynowy albo (PL_Złoty/PL_Platynowy i PZN)</t>
  </si>
  <si>
    <t>Soneta.KadryPlace.dll – Soneta.Kalend.Config.Nadgodziny</t>
  </si>
  <si>
    <t>26</t>
  </si>
  <si>
    <t>Definicje algorytmów RCP</t>
  </si>
  <si>
    <t>z PKN + PLN + PZN</t>
  </si>
  <si>
    <t>PL_Platynowy albo (PL_Złoty i PKN i PLN i PZN)</t>
  </si>
  <si>
    <t>Soneta.KadryPlace.UI.dll – CfgDefinicjeAlgRCPExtender</t>
  </si>
  <si>
    <t>Lista elementów wypłat</t>
  </si>
  <si>
    <t>z AWW lub BI</t>
  </si>
  <si>
    <t>PL_Platynowy albo (PL_Srebrny/PL_Złoty i AWW/BI)</t>
  </si>
  <si>
    <t>Soneta.KadryPlace.UI.dll – ElementyViewInfo.IsVisible</t>
  </si>
  <si>
    <t>Definicja elementu – zakładka „Algorytm”</t>
  </si>
  <si>
    <t>Soneta.KadryPlace.UI.dll – DefinicjaElementuAlgorytmExtender</t>
  </si>
  <si>
    <t>15</t>
  </si>
  <si>
    <t>Korekta definicji elementu – wybór odchyłek</t>
  </si>
  <si>
    <t>Soneta.KadryPlace.dll – KorektaDefElementu</t>
  </si>
  <si>
    <t>Lista płac – wydział i naliczanie „płatna z góry”</t>
  </si>
  <si>
    <t>17</t>
  </si>
  <si>
    <t>Naliczanie seryjne – pole „Naliczanie” (w Srebrnej zawsze „płatna z dołu”)</t>
  </si>
  <si>
    <t>Soneta.KadryPlace.dll – NaliczanieSeryjne</t>
  </si>
  <si>
    <t>Szkolenia: Szkolenia, Ukończone szkolenia, Definicje szkoleń, Definicje uprawnień, Dostawcy szkoleń, Wnioski o szkolenia</t>
  </si>
  <si>
    <t>20</t>
  </si>
  <si>
    <t>ZZL, ZZL/Oceny, ZZL/Stanowiska, Rekrutacja/Etapy rekrutacji</t>
  </si>
  <si>
    <t>Szkolenia/Dodaj wnioski</t>
  </si>
  <si>
    <t>Soneta.KadryPlace.dll – WniosekOSzkolenie</t>
  </si>
  <si>
    <t>Wzór oceny: Zainicjuj; Wyszukaj wg oceny</t>
  </si>
  <si>
    <t>Soneta.KadryPlace.dll – WzorOcenyPracownika, OcenaPracownikowWorker</t>
  </si>
  <si>
    <t>Funkcje HR aktywne w sesji (oceny, stanowiska)</t>
  </si>
  <si>
    <t>Soneta.KadryPlace.dll – StdSessionAssemblers.AktywnyHR</t>
  </si>
  <si>
    <t>Nr</t>
  </si>
  <si>
    <t>Temat</t>
  </si>
  <si>
    <t>Co mówi dokument enova</t>
  </si>
  <si>
    <t>Co pokazuje kod</t>
  </si>
  <si>
    <t>Wniosek / co zrobić</t>
  </si>
  <si>
    <t>Obsługa Agencji Pracy Tymczasowej (Lp 30)</t>
  </si>
  <si>
    <t>Dostępna w Złotej i Platynowej.</t>
  </si>
  <si>
    <t>Menu „Kadry/Umowy zewnętrzne” jest od Złotej, ale parametr konfiguracji „Umowy zewnętrzne” bez Platynowej jest ukryty i zawsze ma wartość „Nie”. Od tego parametru zależy zakładka umów B2B/APT w kartotece pracownika.</t>
  </si>
  <si>
    <t>Sprawdzić na bazie z licencją Złotą, czy da się prowadzić umowy APT. Jeśli nie – przed sprzedażą Złotej klientowi z APT zapytać Sonetę.</t>
  </si>
  <si>
    <t>ZZL (Lp 32)</t>
  </si>
  <si>
    <t>Tylko Platynowa.</t>
  </si>
  <si>
    <t>Menu ZZL, oceny, stanowiska i etapy rekrutacji są też dostępne w Złotej z osobnym modułem ZZL (licencja ZZL_Złoty). Rekrutacja i arkusze ocen – tylko Platynowa.</t>
  </si>
  <si>
    <t>Klient ze Złotą może dokupić moduł ZZL zamiast przechodzić na Platynową – część funkcji zostanie jednak tylko w Platynowej.</t>
  </si>
  <si>
    <t>Czas pracy w Złotej z licencjami „Net” (Lp 14, 26, 36, 37)</t>
  </si>
  <si>
    <t>Magazyn nadgodzin, weryfikacja czasu pracy, automatyczny import RCP – tylko Platynowa.</t>
  </si>
  <si>
    <t>Magazyn nadgodzin, rozliczenie czasu pracy, dane z RCP i zestawienia dnia działają też w Złotej z dodatkowymi licencjami PZN (a definicje algorytmów RCP – z PKN + PLN + PZN).</t>
  </si>
  <si>
    <t>Przy wycenie Złotej z pulpitami sprawdzić, jakie licencje „Net” klient ma – mogą odblokować te funkcje bez Platynowej.</t>
  </si>
  <si>
    <t>Funkcje „dla wszystkich” w Srebrnej (Lp 24, 25, 27, 36, 40)</t>
  </si>
  <si>
    <t>Szkolenia BHP, zajęcia komornicze, PPK, praca zdalna i RODO – we wszystkich wersjach.</t>
  </si>
  <si>
    <t>Dane w kartotece pracownika są we wszystkich wersjach, ale zbiorcze listy dla wielu pracowników są dopiero w Złotej (PPK, RODO) albo w Platynowej (BHP, zajęcia komornicze, praca zdalna).</t>
  </si>
  <si>
    <t>Mówiąc klientowi „jest w Srebrnej/Złotej”, doprecyzować, że chodzi o kartotekę, a nie o zbiorczą listę.</t>
  </si>
  <si>
    <t>Funkcje tylko Platynowej, których nie ma w dokumencie</t>
  </si>
  <si>
    <t>Planowane listy płac (menu i naliczanie), ZFŚS (menu), operacje seryjne wg definicji stanowiska, grupowe czynności na pulpicie kierownika (premie, zmiana miejsca, nadgodziny, praca zdalna), grupowy wniosek o premię, paczki przelewów na liście płac, edycja algorytmu i wersjonowanie kalendarza.</t>
  </si>
  <si>
    <t>Uwzględnić przy porównaniu – to realne różnice między Złotą a Platynową.</t>
  </si>
  <si>
    <t>Funkcje od Złotej, których nie ma w dokumencie</t>
  </si>
  <si>
    <t>Akordy, lista dodatków i potrąceń, lista umów cywilnoprawnych, powiązania ze strukturą organizacyjną, seryjne dodawanie umów i zestawów dodatków, zakończenie dodatków dla zwolnionych, uzgadnianie doby pracowniczej, wybór odchyłek w korekcie definicji elementu.</t>
  </si>
  <si>
    <t>Są w Złotej i Platynowej – nie różnicują tych dwóch wersji, ale odróżniają je od Srebrnej.</t>
  </si>
  <si>
    <t>Nie potwierdzone w kodzie (Lp 7, 31, 35)</t>
  </si>
  <si>
    <t>Weryfikatory normy i czasu pracy – Platynowa; archiwum kartoteki – od Złotej; definicje funkcji – Platynowa.</t>
  </si>
  <si>
    <t>Nie znaleziono sprawdzenia licencji dla tych funkcji w bibliotekach Kadr i Płac.</t>
  </si>
  <si>
    <t>Ograniczenie może być zrobione inaczej (formularz, platforma). Traktować dokument enova jako źródło, w razie wątpliwości sprawdzić na licencji Złotej.</t>
  </si>
  <si>
    <t>Źródło 1 – dokument enova</t>
  </si>
  <si>
    <t>„enova365 KADRY PŁACE – różnice między wersjami”, Soneta, kwiecień 2026: https://enova.pl/content/uploads/2026/04/enova365-KADRY-PLACE-roznice-miedzy-wersjami.pdf. Z niego pochodzą: lista 41 funkcji, oznaczenia Srebro/Złoto/Platyna i opisy.</t>
  </si>
  <si>
    <t>Źródło 2 – kod programu</t>
  </si>
  <si>
    <t>enova365 wersja 2512.5.6 (serwer lokalny): biblioteki Soneta.KadryPlace.dll i Soneta.KadryPlace.UI.dll po dekompilacji. Wyszukano wszystkie miejsca, w których program sprawdza kolor licencji Kadr i Płac (menu, czynności, pola, konfiguracja).</t>
  </si>
  <si>
    <t>Legenda dostępności</t>
  </si>
  <si>
    <t xml:space="preserve">✔ – dostępne;  — – niedostępne;  „z licencją …” / „z modułem …” – dostępne tylko po dokupieniu wskazanej licencji.</t>
  </si>
  <si>
    <t>Kolory w kolumnie „Różnica”</t>
  </si>
  <si>
    <t>niebieski – tylko Platynowa; żółty – Złota i Platynowa; szary – wszystkie wersje.</t>
  </si>
  <si>
    <t>Zgodne – kod potwierdza podział z dokumentu. Zgodne (z uwagą) – potwierdza, ale są szczegóły, np. zbiorcza lista w wyższej wersji niż kartoteka. Rozbieżność – kod działa inaczej niż dokument. Nie potwierdzono – nie znaleziono sprawdzenia licencji. Nie weryfikowano – funkcja platformy albo poza bibliotekami Kadr i Płac.</t>
  </si>
  <si>
    <t>Oznaczenia licencji w kodzie</t>
  </si>
  <si>
    <t>PL_Srebrny / PL_Złoty / PL_Platynowy – kolor licencji Kadr i Płac. „PL_Złoty lub PL_Platynowy” (w kodzie PLXL) – od Złotej wzwyż. ZZL_Złoty – osobny moduł ZZL. PLN, PKN, PZN – dodatkowe licencje z grupy „Net” (pulpity w przeglądarce); kod podaje tylko skróty. AWW, BI – inne moduły enova.</t>
  </si>
  <si>
    <t>Ograniczenia</t>
  </si>
  <si>
    <t>Kod pochodzi z wersji 2512.5.6 i może różnić się od aktualnej. Funkcje ograniczane w inny sposób (formularze, wydruki, platforma, serwer licencji) mogły nie zostać wychwycone. Nic nie było testowane na bazie z licencją Złotą lub Platynową. Wiążące są cennik i umowa licencyjna Soneta.</t>
  </si>
  <si>
    <t>Arkusz wygenerowany</t>
  </si>
  <si>
    <t>2026-09-10</t>
  </si>
</sst>
</file>

<file path=xl/styles.xml><?xml version="1.0" encoding="utf-8"?>
<styleSheet xmlns="http://schemas.openxmlformats.org/spreadsheetml/2006/main">
  <fonts count="10">
    <font>
      <sz val="1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name val="Calibri"/>
      <scheme val="minor"/>
    </font>
    <font>
      <b/>
      <sz val="11"/>
      <color rgb="FF37863C"/>
      <name val="Calibri"/>
      <scheme val="minor"/>
    </font>
    <font>
      <sz val="11"/>
      <color rgb="FFA6A6A6"/>
      <name val="Calibri"/>
      <scheme val="minor"/>
    </font>
    <font>
      <b/>
      <sz val="14"/>
      <name val="Calibri"/>
      <scheme val="minor"/>
    </font>
    <font>
      <i/>
      <sz val="11"/>
      <name val="Calibri"/>
      <scheme val="minor"/>
    </font>
    <font>
      <b/>
      <sz val="12"/>
      <name val="Calibri"/>
      <scheme val="minor"/>
    </font>
    <font>
      <sz val="11"/>
      <color rgb="FF595959"/>
      <name val="Calibri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5.7109375" customWidth="1"/>
    <col min="2" max="2" width="16.710938" customWidth="1"/>
    <col min="3" max="3" width="34.710938" customWidth="1"/>
    <col min="4" max="4" width="55.710938" customWidth="1"/>
    <col min="5" max="5" width="9.7109375" customWidth="1"/>
    <col min="6" max="6" width="9.7109375" customWidth="1"/>
    <col min="7" max="7" width="10.7109375" customWidth="1"/>
    <col min="8" max="8" width="17.710938" customWidth="1"/>
    <col min="9" max="9" width="65.71094" customWidth="1"/>
    <col min="10" max="10" width="20.710938" customWidth="1"/>
  </cols>
  <sheetData>
    <row r="1" ht="8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>
      <c r="A2" s="2">
        <v>1</v>
      </c>
      <c r="B2" s="3" t="s">
        <v>10</v>
      </c>
      <c r="C2" s="4" t="s">
        <v>11</v>
      </c>
      <c r="D2" s="3" t="s">
        <v>12</v>
      </c>
      <c r="E2" s="5" t="s">
        <v>13</v>
      </c>
      <c r="F2" s="5" t="s">
        <v>13</v>
      </c>
      <c r="G2" s="5" t="s">
        <v>13</v>
      </c>
      <c r="H2" s="6" t="s">
        <v>14</v>
      </c>
      <c r="I2" s="3" t="s">
        <v>15</v>
      </c>
      <c r="J2" s="7" t="s">
        <v>16</v>
      </c>
    </row>
    <row r="3" ht="30">
      <c r="A3" s="2">
        <v>2</v>
      </c>
      <c r="B3" s="3" t="s">
        <v>10</v>
      </c>
      <c r="C3" s="4" t="s">
        <v>17</v>
      </c>
      <c r="D3" s="3" t="s">
        <v>18</v>
      </c>
      <c r="E3" s="5" t="s">
        <v>13</v>
      </c>
      <c r="F3" s="5" t="s">
        <v>13</v>
      </c>
      <c r="G3" s="5" t="s">
        <v>13</v>
      </c>
      <c r="H3" s="6" t="s">
        <v>14</v>
      </c>
      <c r="I3" s="3" t="s">
        <v>19</v>
      </c>
      <c r="J3" s="7" t="s">
        <v>16</v>
      </c>
    </row>
    <row r="4" ht="45">
      <c r="A4" s="2">
        <v>3</v>
      </c>
      <c r="B4" s="3" t="s">
        <v>10</v>
      </c>
      <c r="C4" s="4" t="s">
        <v>20</v>
      </c>
      <c r="D4" s="3" t="s">
        <v>21</v>
      </c>
      <c r="E4" s="5" t="s">
        <v>13</v>
      </c>
      <c r="F4" s="5" t="s">
        <v>13</v>
      </c>
      <c r="G4" s="5" t="s">
        <v>13</v>
      </c>
      <c r="H4" s="6" t="s">
        <v>14</v>
      </c>
      <c r="I4" s="3" t="s">
        <v>22</v>
      </c>
      <c r="J4" s="3" t="s">
        <v>23</v>
      </c>
    </row>
    <row r="5" ht="45">
      <c r="A5" s="2">
        <v>4</v>
      </c>
      <c r="B5" s="3" t="s">
        <v>10</v>
      </c>
      <c r="C5" s="4" t="s">
        <v>24</v>
      </c>
      <c r="D5" s="3" t="s">
        <v>25</v>
      </c>
      <c r="E5" s="5" t="s">
        <v>13</v>
      </c>
      <c r="F5" s="5" t="s">
        <v>13</v>
      </c>
      <c r="G5" s="5" t="s">
        <v>13</v>
      </c>
      <c r="H5" s="6" t="s">
        <v>14</v>
      </c>
      <c r="I5" s="3" t="s">
        <v>22</v>
      </c>
      <c r="J5" s="3" t="s">
        <v>23</v>
      </c>
    </row>
    <row r="6" ht="45">
      <c r="A6" s="2">
        <v>5</v>
      </c>
      <c r="B6" s="3" t="s">
        <v>10</v>
      </c>
      <c r="C6" s="4" t="s">
        <v>26</v>
      </c>
      <c r="D6" s="3" t="s">
        <v>27</v>
      </c>
      <c r="E6" s="8" t="s">
        <v>22</v>
      </c>
      <c r="F6" s="5" t="s">
        <v>13</v>
      </c>
      <c r="G6" s="5" t="s">
        <v>13</v>
      </c>
      <c r="H6" s="9" t="s">
        <v>28</v>
      </c>
      <c r="I6" s="3" t="s">
        <v>22</v>
      </c>
      <c r="J6" s="3" t="s">
        <v>23</v>
      </c>
    </row>
    <row r="7" ht="60">
      <c r="A7" s="2">
        <v>6</v>
      </c>
      <c r="B7" s="3" t="s">
        <v>29</v>
      </c>
      <c r="C7" s="4" t="s">
        <v>30</v>
      </c>
      <c r="D7" s="3" t="s">
        <v>31</v>
      </c>
      <c r="E7" s="8" t="s">
        <v>22</v>
      </c>
      <c r="F7" s="5" t="s">
        <v>13</v>
      </c>
      <c r="G7" s="5" t="s">
        <v>13</v>
      </c>
      <c r="H7" s="9" t="s">
        <v>28</v>
      </c>
      <c r="I7" s="3" t="s">
        <v>32</v>
      </c>
      <c r="J7" s="7" t="s">
        <v>33</v>
      </c>
    </row>
    <row r="8" ht="30">
      <c r="A8" s="2">
        <v>7</v>
      </c>
      <c r="B8" s="3" t="s">
        <v>29</v>
      </c>
      <c r="C8" s="4" t="s">
        <v>34</v>
      </c>
      <c r="D8" s="3" t="s">
        <v>35</v>
      </c>
      <c r="E8" s="8" t="s">
        <v>22</v>
      </c>
      <c r="F8" s="8" t="s">
        <v>22</v>
      </c>
      <c r="G8" s="5" t="s">
        <v>13</v>
      </c>
      <c r="H8" s="10" t="s">
        <v>36</v>
      </c>
      <c r="I8" s="3" t="s">
        <v>37</v>
      </c>
      <c r="J8" s="11" t="s">
        <v>38</v>
      </c>
    </row>
    <row r="9" ht="45">
      <c r="A9" s="2">
        <v>8</v>
      </c>
      <c r="B9" s="3" t="s">
        <v>29</v>
      </c>
      <c r="C9" s="4" t="s">
        <v>39</v>
      </c>
      <c r="D9" s="3" t="s">
        <v>40</v>
      </c>
      <c r="E9" s="8" t="s">
        <v>22</v>
      </c>
      <c r="F9" s="8" t="s">
        <v>22</v>
      </c>
      <c r="G9" s="5" t="s">
        <v>13</v>
      </c>
      <c r="H9" s="10" t="s">
        <v>36</v>
      </c>
      <c r="I9" s="3" t="s">
        <v>41</v>
      </c>
      <c r="J9" s="7" t="s">
        <v>16</v>
      </c>
    </row>
    <row r="10" ht="30">
      <c r="A10" s="2">
        <v>9</v>
      </c>
      <c r="B10" s="3" t="s">
        <v>11</v>
      </c>
      <c r="C10" s="4" t="s">
        <v>42</v>
      </c>
      <c r="D10" s="3" t="s">
        <v>43</v>
      </c>
      <c r="E10" s="8" t="s">
        <v>22</v>
      </c>
      <c r="F10" s="5" t="s">
        <v>13</v>
      </c>
      <c r="G10" s="5" t="s">
        <v>13</v>
      </c>
      <c r="H10" s="9" t="s">
        <v>28</v>
      </c>
      <c r="I10" s="3" t="s">
        <v>44</v>
      </c>
      <c r="J10" s="7" t="s">
        <v>33</v>
      </c>
    </row>
    <row r="11" ht="45">
      <c r="A11" s="2">
        <v>10</v>
      </c>
      <c r="B11" s="3" t="s">
        <v>11</v>
      </c>
      <c r="C11" s="4" t="s">
        <v>45</v>
      </c>
      <c r="D11" s="3" t="s">
        <v>46</v>
      </c>
      <c r="E11" s="8" t="s">
        <v>22</v>
      </c>
      <c r="F11" s="5" t="s">
        <v>13</v>
      </c>
      <c r="G11" s="5" t="s">
        <v>13</v>
      </c>
      <c r="H11" s="9" t="s">
        <v>28</v>
      </c>
      <c r="I11" s="3" t="s">
        <v>22</v>
      </c>
      <c r="J11" s="3" t="s">
        <v>23</v>
      </c>
    </row>
    <row r="12" ht="30">
      <c r="A12" s="2">
        <v>11</v>
      </c>
      <c r="B12" s="3" t="s">
        <v>11</v>
      </c>
      <c r="C12" s="4" t="s">
        <v>47</v>
      </c>
      <c r="D12" s="3" t="s">
        <v>48</v>
      </c>
      <c r="E12" s="8" t="s">
        <v>22</v>
      </c>
      <c r="F12" s="5" t="s">
        <v>13</v>
      </c>
      <c r="G12" s="5" t="s">
        <v>13</v>
      </c>
      <c r="H12" s="9" t="s">
        <v>28</v>
      </c>
      <c r="I12" s="3" t="s">
        <v>49</v>
      </c>
      <c r="J12" s="7" t="s">
        <v>16</v>
      </c>
    </row>
    <row r="13" ht="45">
      <c r="A13" s="2">
        <v>12</v>
      </c>
      <c r="B13" s="3" t="s">
        <v>11</v>
      </c>
      <c r="C13" s="4" t="s">
        <v>50</v>
      </c>
      <c r="D13" s="3" t="s">
        <v>51</v>
      </c>
      <c r="E13" s="8" t="s">
        <v>22</v>
      </c>
      <c r="F13" s="5" t="s">
        <v>13</v>
      </c>
      <c r="G13" s="5" t="s">
        <v>13</v>
      </c>
      <c r="H13" s="9" t="s">
        <v>28</v>
      </c>
      <c r="I13" s="3" t="s">
        <v>52</v>
      </c>
      <c r="J13" s="7" t="s">
        <v>33</v>
      </c>
    </row>
    <row r="14">
      <c r="A14" s="2">
        <v>13</v>
      </c>
      <c r="B14" s="3" t="s">
        <v>29</v>
      </c>
      <c r="C14" s="4" t="s">
        <v>53</v>
      </c>
      <c r="D14" s="3" t="s">
        <v>54</v>
      </c>
      <c r="E14" s="8" t="s">
        <v>22</v>
      </c>
      <c r="F14" s="5" t="s">
        <v>13</v>
      </c>
      <c r="G14" s="5" t="s">
        <v>13</v>
      </c>
      <c r="H14" s="9" t="s">
        <v>28</v>
      </c>
      <c r="I14" s="3" t="s">
        <v>55</v>
      </c>
      <c r="J14" s="7" t="s">
        <v>16</v>
      </c>
    </row>
    <row r="15" ht="45">
      <c r="A15" s="2">
        <v>14</v>
      </c>
      <c r="B15" s="3" t="s">
        <v>29</v>
      </c>
      <c r="C15" s="4" t="s">
        <v>56</v>
      </c>
      <c r="D15" s="3" t="s">
        <v>57</v>
      </c>
      <c r="E15" s="8" t="s">
        <v>22</v>
      </c>
      <c r="F15" s="8" t="s">
        <v>22</v>
      </c>
      <c r="G15" s="5" t="s">
        <v>13</v>
      </c>
      <c r="H15" s="10" t="s">
        <v>36</v>
      </c>
      <c r="I15" s="3" t="s">
        <v>58</v>
      </c>
      <c r="J15" s="7" t="s">
        <v>16</v>
      </c>
    </row>
    <row r="16" ht="45">
      <c r="A16" s="2">
        <v>15</v>
      </c>
      <c r="B16" s="3" t="s">
        <v>17</v>
      </c>
      <c r="C16" s="4" t="s">
        <v>59</v>
      </c>
      <c r="D16" s="3" t="s">
        <v>60</v>
      </c>
      <c r="E16" s="8" t="s">
        <v>22</v>
      </c>
      <c r="F16" s="5" t="s">
        <v>13</v>
      </c>
      <c r="G16" s="5" t="s">
        <v>13</v>
      </c>
      <c r="H16" s="9" t="s">
        <v>28</v>
      </c>
      <c r="I16" s="3" t="s">
        <v>61</v>
      </c>
      <c r="J16" s="7" t="s">
        <v>16</v>
      </c>
    </row>
    <row r="17" ht="45">
      <c r="A17" s="2">
        <v>16</v>
      </c>
      <c r="B17" s="3" t="s">
        <v>11</v>
      </c>
      <c r="C17" s="4" t="s">
        <v>62</v>
      </c>
      <c r="D17" s="3" t="s">
        <v>63</v>
      </c>
      <c r="E17" s="8" t="s">
        <v>22</v>
      </c>
      <c r="F17" s="5" t="s">
        <v>13</v>
      </c>
      <c r="G17" s="5" t="s">
        <v>13</v>
      </c>
      <c r="H17" s="9" t="s">
        <v>28</v>
      </c>
      <c r="I17" s="3" t="s">
        <v>64</v>
      </c>
      <c r="J17" s="7" t="s">
        <v>16</v>
      </c>
    </row>
    <row r="18" ht="30">
      <c r="A18" s="2">
        <v>17</v>
      </c>
      <c r="B18" s="3" t="s">
        <v>17</v>
      </c>
      <c r="C18" s="4" t="s">
        <v>65</v>
      </c>
      <c r="D18" s="3" t="s">
        <v>66</v>
      </c>
      <c r="E18" s="8" t="s">
        <v>22</v>
      </c>
      <c r="F18" s="5" t="s">
        <v>13</v>
      </c>
      <c r="G18" s="5" t="s">
        <v>13</v>
      </c>
      <c r="H18" s="9" t="s">
        <v>28</v>
      </c>
      <c r="I18" s="3" t="s">
        <v>67</v>
      </c>
      <c r="J18" s="7" t="s">
        <v>33</v>
      </c>
    </row>
    <row r="19" ht="60">
      <c r="A19" s="2">
        <v>18</v>
      </c>
      <c r="B19" s="3" t="s">
        <v>11</v>
      </c>
      <c r="C19" s="4" t="s">
        <v>68</v>
      </c>
      <c r="D19" s="3" t="s">
        <v>69</v>
      </c>
      <c r="E19" s="8" t="s">
        <v>22</v>
      </c>
      <c r="F19" s="5" t="s">
        <v>13</v>
      </c>
      <c r="G19" s="5" t="s">
        <v>13</v>
      </c>
      <c r="H19" s="9" t="s">
        <v>28</v>
      </c>
      <c r="I19" s="3" t="s">
        <v>70</v>
      </c>
      <c r="J19" s="7" t="s">
        <v>33</v>
      </c>
    </row>
    <row r="20" ht="45">
      <c r="A20" s="2">
        <v>19</v>
      </c>
      <c r="B20" s="3" t="s">
        <v>17</v>
      </c>
      <c r="C20" s="4" t="s">
        <v>71</v>
      </c>
      <c r="D20" s="3" t="s">
        <v>72</v>
      </c>
      <c r="E20" s="8" t="s">
        <v>22</v>
      </c>
      <c r="F20" s="8" t="s">
        <v>22</v>
      </c>
      <c r="G20" s="5" t="s">
        <v>13</v>
      </c>
      <c r="H20" s="10" t="s">
        <v>36</v>
      </c>
      <c r="I20" s="3" t="s">
        <v>73</v>
      </c>
      <c r="J20" s="7" t="s">
        <v>16</v>
      </c>
    </row>
    <row r="21" ht="45">
      <c r="A21" s="2">
        <v>20</v>
      </c>
      <c r="B21" s="3" t="s">
        <v>74</v>
      </c>
      <c r="C21" s="4" t="s">
        <v>75</v>
      </c>
      <c r="D21" s="3" t="s">
        <v>76</v>
      </c>
      <c r="E21" s="8" t="s">
        <v>22</v>
      </c>
      <c r="F21" s="5" t="s">
        <v>13</v>
      </c>
      <c r="G21" s="5" t="s">
        <v>13</v>
      </c>
      <c r="H21" s="9" t="s">
        <v>28</v>
      </c>
      <c r="I21" s="3" t="s">
        <v>77</v>
      </c>
      <c r="J21" s="7" t="s">
        <v>16</v>
      </c>
    </row>
    <row r="22" ht="45">
      <c r="A22" s="2">
        <v>21</v>
      </c>
      <c r="B22" s="3" t="s">
        <v>74</v>
      </c>
      <c r="C22" s="4" t="s">
        <v>78</v>
      </c>
      <c r="D22" s="3" t="s">
        <v>79</v>
      </c>
      <c r="E22" s="8" t="s">
        <v>22</v>
      </c>
      <c r="F22" s="8" t="s">
        <v>22</v>
      </c>
      <c r="G22" s="5" t="s">
        <v>13</v>
      </c>
      <c r="H22" s="10" t="s">
        <v>36</v>
      </c>
      <c r="I22" s="3" t="s">
        <v>80</v>
      </c>
      <c r="J22" s="7" t="s">
        <v>16</v>
      </c>
    </row>
    <row r="23" ht="75">
      <c r="A23" s="2">
        <v>22</v>
      </c>
      <c r="B23" s="3" t="s">
        <v>11</v>
      </c>
      <c r="C23" s="4" t="s">
        <v>81</v>
      </c>
      <c r="D23" s="3" t="s">
        <v>82</v>
      </c>
      <c r="E23" s="8" t="s">
        <v>22</v>
      </c>
      <c r="F23" s="8" t="s">
        <v>22</v>
      </c>
      <c r="G23" s="5" t="s">
        <v>13</v>
      </c>
      <c r="H23" s="10" t="s">
        <v>36</v>
      </c>
      <c r="I23" s="3" t="s">
        <v>83</v>
      </c>
      <c r="J23" s="7" t="s">
        <v>16</v>
      </c>
    </row>
    <row r="24" ht="45">
      <c r="A24" s="2">
        <v>23</v>
      </c>
      <c r="B24" s="3" t="s">
        <v>84</v>
      </c>
      <c r="C24" s="4" t="s">
        <v>85</v>
      </c>
      <c r="D24" s="3" t="s">
        <v>86</v>
      </c>
      <c r="E24" s="8" t="s">
        <v>22</v>
      </c>
      <c r="F24" s="8" t="s">
        <v>22</v>
      </c>
      <c r="G24" s="5" t="s">
        <v>13</v>
      </c>
      <c r="H24" s="10" t="s">
        <v>36</v>
      </c>
      <c r="I24" s="3" t="s">
        <v>22</v>
      </c>
      <c r="J24" s="3" t="s">
        <v>23</v>
      </c>
    </row>
    <row r="25" ht="30">
      <c r="A25" s="2">
        <v>24</v>
      </c>
      <c r="B25" s="3" t="s">
        <v>11</v>
      </c>
      <c r="C25" s="4" t="s">
        <v>87</v>
      </c>
      <c r="D25" s="3" t="s">
        <v>88</v>
      </c>
      <c r="E25" s="5" t="s">
        <v>13</v>
      </c>
      <c r="F25" s="5" t="s">
        <v>13</v>
      </c>
      <c r="G25" s="5" t="s">
        <v>13</v>
      </c>
      <c r="H25" s="6" t="s">
        <v>14</v>
      </c>
      <c r="I25" s="3" t="s">
        <v>89</v>
      </c>
      <c r="J25" s="7" t="s">
        <v>33</v>
      </c>
    </row>
    <row r="26" ht="30">
      <c r="A26" s="2">
        <v>25</v>
      </c>
      <c r="B26" s="3" t="s">
        <v>17</v>
      </c>
      <c r="C26" s="4" t="s">
        <v>90</v>
      </c>
      <c r="D26" s="3" t="s">
        <v>91</v>
      </c>
      <c r="E26" s="5" t="s">
        <v>13</v>
      </c>
      <c r="F26" s="5" t="s">
        <v>13</v>
      </c>
      <c r="G26" s="5" t="s">
        <v>13</v>
      </c>
      <c r="H26" s="6" t="s">
        <v>14</v>
      </c>
      <c r="I26" s="3" t="s">
        <v>92</v>
      </c>
      <c r="J26" s="7" t="s">
        <v>33</v>
      </c>
    </row>
    <row r="27" ht="30">
      <c r="A27" s="2">
        <v>26</v>
      </c>
      <c r="B27" s="3" t="s">
        <v>29</v>
      </c>
      <c r="C27" s="4" t="s">
        <v>93</v>
      </c>
      <c r="D27" s="3" t="s">
        <v>94</v>
      </c>
      <c r="E27" s="8" t="s">
        <v>22</v>
      </c>
      <c r="F27" s="8" t="s">
        <v>22</v>
      </c>
      <c r="G27" s="5" t="s">
        <v>13</v>
      </c>
      <c r="H27" s="10" t="s">
        <v>36</v>
      </c>
      <c r="I27" s="3" t="s">
        <v>95</v>
      </c>
      <c r="J27" s="7" t="s">
        <v>33</v>
      </c>
    </row>
    <row r="28" ht="45">
      <c r="A28" s="2">
        <v>27</v>
      </c>
      <c r="B28" s="3" t="s">
        <v>11</v>
      </c>
      <c r="C28" s="4" t="s">
        <v>96</v>
      </c>
      <c r="D28" s="3" t="s">
        <v>97</v>
      </c>
      <c r="E28" s="5" t="s">
        <v>13</v>
      </c>
      <c r="F28" s="5" t="s">
        <v>13</v>
      </c>
      <c r="G28" s="5" t="s">
        <v>13</v>
      </c>
      <c r="H28" s="6" t="s">
        <v>14</v>
      </c>
      <c r="I28" s="3" t="s">
        <v>98</v>
      </c>
      <c r="J28" s="7" t="s">
        <v>33</v>
      </c>
    </row>
    <row r="29" ht="30">
      <c r="A29" s="2">
        <v>28</v>
      </c>
      <c r="B29" s="3" t="s">
        <v>11</v>
      </c>
      <c r="C29" s="4" t="s">
        <v>99</v>
      </c>
      <c r="D29" s="3" t="s">
        <v>100</v>
      </c>
      <c r="E29" s="8" t="s">
        <v>22</v>
      </c>
      <c r="F29" s="5" t="s">
        <v>13</v>
      </c>
      <c r="G29" s="5" t="s">
        <v>13</v>
      </c>
      <c r="H29" s="9" t="s">
        <v>28</v>
      </c>
      <c r="I29" s="3" t="s">
        <v>101</v>
      </c>
      <c r="J29" s="7" t="s">
        <v>16</v>
      </c>
    </row>
    <row r="30" ht="45">
      <c r="A30" s="2">
        <v>29</v>
      </c>
      <c r="B30" s="3" t="s">
        <v>29</v>
      </c>
      <c r="C30" s="4" t="s">
        <v>102</v>
      </c>
      <c r="D30" s="3" t="s">
        <v>103</v>
      </c>
      <c r="E30" s="5" t="s">
        <v>13</v>
      </c>
      <c r="F30" s="5" t="s">
        <v>13</v>
      </c>
      <c r="G30" s="5" t="s">
        <v>13</v>
      </c>
      <c r="H30" s="6" t="s">
        <v>14</v>
      </c>
      <c r="I30" s="3" t="s">
        <v>22</v>
      </c>
      <c r="J30" s="3" t="s">
        <v>23</v>
      </c>
    </row>
    <row r="31" ht="60">
      <c r="A31" s="2">
        <v>30</v>
      </c>
      <c r="B31" s="3" t="s">
        <v>11</v>
      </c>
      <c r="C31" s="4" t="s">
        <v>104</v>
      </c>
      <c r="D31" s="3" t="s">
        <v>105</v>
      </c>
      <c r="E31" s="8" t="s">
        <v>22</v>
      </c>
      <c r="F31" s="5" t="s">
        <v>13</v>
      </c>
      <c r="G31" s="5" t="s">
        <v>13</v>
      </c>
      <c r="H31" s="9" t="s">
        <v>28</v>
      </c>
      <c r="I31" s="3" t="s">
        <v>106</v>
      </c>
      <c r="J31" s="12" t="s">
        <v>107</v>
      </c>
    </row>
    <row r="32" ht="30">
      <c r="A32" s="2">
        <v>31</v>
      </c>
      <c r="B32" s="3" t="s">
        <v>11</v>
      </c>
      <c r="C32" s="4" t="s">
        <v>108</v>
      </c>
      <c r="D32" s="3" t="s">
        <v>109</v>
      </c>
      <c r="E32" s="8" t="s">
        <v>22</v>
      </c>
      <c r="F32" s="5" t="s">
        <v>13</v>
      </c>
      <c r="G32" s="5" t="s">
        <v>13</v>
      </c>
      <c r="H32" s="9" t="s">
        <v>28</v>
      </c>
      <c r="I32" s="3" t="s">
        <v>110</v>
      </c>
      <c r="J32" s="11" t="s">
        <v>38</v>
      </c>
    </row>
    <row r="33" ht="45">
      <c r="A33" s="2">
        <v>32</v>
      </c>
      <c r="B33" s="3" t="s">
        <v>74</v>
      </c>
      <c r="C33" s="4" t="s">
        <v>111</v>
      </c>
      <c r="D33" s="3" t="s">
        <v>112</v>
      </c>
      <c r="E33" s="8" t="s">
        <v>22</v>
      </c>
      <c r="F33" s="8" t="s">
        <v>22</v>
      </c>
      <c r="G33" s="5" t="s">
        <v>13</v>
      </c>
      <c r="H33" s="10" t="s">
        <v>36</v>
      </c>
      <c r="I33" s="3" t="s">
        <v>113</v>
      </c>
      <c r="J33" s="7" t="s">
        <v>33</v>
      </c>
    </row>
    <row r="34" ht="60">
      <c r="A34" s="2">
        <v>33</v>
      </c>
      <c r="B34" s="3" t="s">
        <v>114</v>
      </c>
      <c r="C34" s="4" t="s">
        <v>114</v>
      </c>
      <c r="D34" s="3" t="s">
        <v>115</v>
      </c>
      <c r="E34" s="8" t="s">
        <v>22</v>
      </c>
      <c r="F34" s="5" t="s">
        <v>13</v>
      </c>
      <c r="G34" s="5" t="s">
        <v>13</v>
      </c>
      <c r="H34" s="9" t="s">
        <v>28</v>
      </c>
      <c r="I34" s="3" t="s">
        <v>116</v>
      </c>
      <c r="J34" s="3" t="s">
        <v>23</v>
      </c>
    </row>
    <row r="35" ht="30">
      <c r="A35" s="2">
        <v>34</v>
      </c>
      <c r="B35" s="3" t="s">
        <v>29</v>
      </c>
      <c r="C35" s="4" t="s">
        <v>117</v>
      </c>
      <c r="D35" s="3" t="s">
        <v>118</v>
      </c>
      <c r="E35" s="8" t="s">
        <v>22</v>
      </c>
      <c r="F35" s="8" t="s">
        <v>22</v>
      </c>
      <c r="G35" s="5" t="s">
        <v>13</v>
      </c>
      <c r="H35" s="10" t="s">
        <v>36</v>
      </c>
      <c r="I35" s="3" t="s">
        <v>119</v>
      </c>
      <c r="J35" s="7" t="s">
        <v>16</v>
      </c>
    </row>
    <row r="36" ht="45">
      <c r="A36" s="2">
        <v>35</v>
      </c>
      <c r="B36" s="3" t="s">
        <v>74</v>
      </c>
      <c r="C36" s="4" t="s">
        <v>120</v>
      </c>
      <c r="D36" s="3" t="s">
        <v>121</v>
      </c>
      <c r="E36" s="8" t="s">
        <v>22</v>
      </c>
      <c r="F36" s="8" t="s">
        <v>22</v>
      </c>
      <c r="G36" s="5" t="s">
        <v>13</v>
      </c>
      <c r="H36" s="10" t="s">
        <v>36</v>
      </c>
      <c r="I36" s="3" t="s">
        <v>122</v>
      </c>
      <c r="J36" s="11" t="s">
        <v>38</v>
      </c>
    </row>
    <row r="37" ht="60">
      <c r="A37" s="2">
        <v>36</v>
      </c>
      <c r="B37" s="3" t="s">
        <v>29</v>
      </c>
      <c r="C37" s="4" t="s">
        <v>123</v>
      </c>
      <c r="D37" s="3" t="s">
        <v>124</v>
      </c>
      <c r="E37" s="5" t="s">
        <v>13</v>
      </c>
      <c r="F37" s="5" t="s">
        <v>13</v>
      </c>
      <c r="G37" s="5" t="s">
        <v>13</v>
      </c>
      <c r="H37" s="6" t="s">
        <v>14</v>
      </c>
      <c r="I37" s="3" t="s">
        <v>125</v>
      </c>
      <c r="J37" s="7" t="s">
        <v>33</v>
      </c>
    </row>
    <row r="38" ht="45">
      <c r="A38" s="2">
        <v>37</v>
      </c>
      <c r="B38" s="3" t="s">
        <v>29</v>
      </c>
      <c r="C38" s="4" t="s">
        <v>126</v>
      </c>
      <c r="D38" s="3" t="s">
        <v>127</v>
      </c>
      <c r="E38" s="8" t="s">
        <v>22</v>
      </c>
      <c r="F38" s="8" t="s">
        <v>22</v>
      </c>
      <c r="G38" s="5" t="s">
        <v>13</v>
      </c>
      <c r="H38" s="10" t="s">
        <v>36</v>
      </c>
      <c r="I38" s="3" t="s">
        <v>128</v>
      </c>
      <c r="J38" s="7" t="s">
        <v>33</v>
      </c>
    </row>
    <row r="39" ht="30">
      <c r="A39" s="2">
        <v>38</v>
      </c>
      <c r="B39" s="3" t="s">
        <v>29</v>
      </c>
      <c r="C39" s="4" t="s">
        <v>129</v>
      </c>
      <c r="D39" s="3" t="s">
        <v>130</v>
      </c>
      <c r="E39" s="8" t="s">
        <v>22</v>
      </c>
      <c r="F39" s="5" t="s">
        <v>13</v>
      </c>
      <c r="G39" s="5" t="s">
        <v>13</v>
      </c>
      <c r="H39" s="9" t="s">
        <v>28</v>
      </c>
      <c r="I39" s="3" t="s">
        <v>131</v>
      </c>
      <c r="J39" s="7" t="s">
        <v>16</v>
      </c>
    </row>
    <row r="40" ht="60">
      <c r="A40" s="2">
        <v>39</v>
      </c>
      <c r="B40" s="3" t="s">
        <v>84</v>
      </c>
      <c r="C40" s="4" t="s">
        <v>132</v>
      </c>
      <c r="D40" s="3" t="s">
        <v>133</v>
      </c>
      <c r="E40" s="8" t="s">
        <v>22</v>
      </c>
      <c r="F40" s="5" t="s">
        <v>13</v>
      </c>
      <c r="G40" s="5" t="s">
        <v>13</v>
      </c>
      <c r="H40" s="9" t="s">
        <v>28</v>
      </c>
      <c r="I40" s="3" t="s">
        <v>22</v>
      </c>
      <c r="J40" s="3" t="s">
        <v>23</v>
      </c>
    </row>
    <row r="41" ht="45">
      <c r="A41" s="2">
        <v>40</v>
      </c>
      <c r="B41" s="3" t="s">
        <v>11</v>
      </c>
      <c r="C41" s="4" t="s">
        <v>134</v>
      </c>
      <c r="D41" s="3" t="s">
        <v>135</v>
      </c>
      <c r="E41" s="5" t="s">
        <v>13</v>
      </c>
      <c r="F41" s="5" t="s">
        <v>13</v>
      </c>
      <c r="G41" s="5" t="s">
        <v>13</v>
      </c>
      <c r="H41" s="6" t="s">
        <v>14</v>
      </c>
      <c r="I41" s="3" t="s">
        <v>136</v>
      </c>
      <c r="J41" s="7" t="s">
        <v>33</v>
      </c>
    </row>
    <row r="42" ht="45">
      <c r="A42" s="2">
        <v>41</v>
      </c>
      <c r="B42" s="3" t="s">
        <v>84</v>
      </c>
      <c r="C42" s="4" t="s">
        <v>137</v>
      </c>
      <c r="D42" s="3" t="s">
        <v>138</v>
      </c>
      <c r="E42" s="8" t="s">
        <v>22</v>
      </c>
      <c r="F42" s="8" t="s">
        <v>22</v>
      </c>
      <c r="G42" s="5" t="s">
        <v>13</v>
      </c>
      <c r="H42" s="10" t="s">
        <v>36</v>
      </c>
      <c r="I42" s="3" t="s">
        <v>22</v>
      </c>
      <c r="J42" s="3" t="s">
        <v>23</v>
      </c>
    </row>
  </sheetData>
  <autoFilter ref="A1:J4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30.710938" customWidth="1"/>
    <col min="2" max="2" width="14.7109375" customWidth="1"/>
    <col min="3" max="3" width="90.71094" customWidth="1"/>
  </cols>
  <sheetData>
    <row r="1" ht="18.75">
      <c r="A1" s="13" t="s">
        <v>139</v>
      </c>
    </row>
    <row r="2">
      <c r="A2" s="14" t="s">
        <v>140</v>
      </c>
    </row>
    <row r="4">
      <c r="A4" s="15" t="s">
        <v>141</v>
      </c>
      <c r="B4" s="15" t="s">
        <v>142</v>
      </c>
      <c r="C4" s="15" t="s">
        <v>143</v>
      </c>
    </row>
    <row r="5" ht="75">
      <c r="A5" s="10" t="s">
        <v>36</v>
      </c>
      <c r="B5" s="2">
        <f>COUNTIF(Porównanie!$H$2:$H$42,"Tylko Platynowa")</f>
        <v>13</v>
      </c>
      <c r="C5" s="3" t="s">
        <v>144</v>
      </c>
    </row>
    <row r="6" ht="135">
      <c r="A6" s="16" t="s">
        <v>28</v>
      </c>
      <c r="B6" s="2">
        <f>COUNTIF(Porównanie!$H$2:$H$42,"Złota i Platynowa")</f>
        <v>18</v>
      </c>
      <c r="C6" s="3" t="s">
        <v>145</v>
      </c>
    </row>
    <row r="7" ht="45">
      <c r="A7" s="17" t="s">
        <v>14</v>
      </c>
      <c r="B7" s="2">
        <f>COUNTIF(Porównanie!$H$2:$H$42,"Wszystkie wersje")</f>
        <v>10</v>
      </c>
      <c r="C7" s="3" t="s">
        <v>146</v>
      </c>
    </row>
    <row r="9" ht="15.75">
      <c r="A9" s="18" t="s">
        <v>147</v>
      </c>
    </row>
    <row r="10" ht="48" customHeight="1">
      <c r="A10" s="19" t="s">
        <v>148</v>
      </c>
      <c r="B10" s="19"/>
      <c r="C10" s="19"/>
    </row>
    <row r="11" ht="48" customHeight="1">
      <c r="A11" s="19" t="s">
        <v>149</v>
      </c>
      <c r="B11" s="19"/>
      <c r="C11" s="19"/>
    </row>
    <row r="12" ht="48" customHeight="1">
      <c r="A12" s="19" t="s">
        <v>150</v>
      </c>
      <c r="B12" s="19"/>
      <c r="C12" s="19"/>
    </row>
    <row r="13" ht="48" customHeight="1">
      <c r="A13" s="19" t="s">
        <v>151</v>
      </c>
      <c r="B13" s="19"/>
      <c r="C13" s="19"/>
    </row>
  </sheetData>
  <mergeCells count="4">
    <mergeCell ref="A10:C10"/>
    <mergeCell ref="A11:C11"/>
    <mergeCell ref="A12:C12"/>
    <mergeCell ref="A13:C13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16.710938" customWidth="1"/>
    <col min="2" max="2" width="60.710938" customWidth="1"/>
    <col min="3" max="3" width="14.7109375" customWidth="1"/>
    <col min="4" max="4" width="12.7109375" customWidth="1"/>
    <col min="5" max="5" width="14.7109375" customWidth="1"/>
    <col min="6" max="6" width="10.7109375" customWidth="1"/>
    <col min="7" max="7" width="34.710938" customWidth="1"/>
    <col min="8" max="8" width="45.710938" customWidth="1"/>
    <col min="9" max="9" width="16.710938" customWidth="1"/>
  </cols>
  <sheetData>
    <row r="1" ht="84" customHeight="1">
      <c r="A1" s="1" t="s">
        <v>1</v>
      </c>
      <c r="B1" s="1" t="s">
        <v>152</v>
      </c>
      <c r="C1" s="1" t="s">
        <v>153</v>
      </c>
      <c r="D1" s="1" t="s">
        <v>4</v>
      </c>
      <c r="E1" s="1" t="s">
        <v>5</v>
      </c>
      <c r="F1" s="1" t="s">
        <v>6</v>
      </c>
      <c r="G1" s="1" t="s">
        <v>154</v>
      </c>
      <c r="H1" s="1" t="s">
        <v>155</v>
      </c>
      <c r="I1" s="1" t="s">
        <v>156</v>
      </c>
    </row>
    <row r="2">
      <c r="A2" s="20" t="s">
        <v>29</v>
      </c>
      <c r="B2" s="20" t="s">
        <v>157</v>
      </c>
      <c r="C2" s="20" t="s">
        <v>158</v>
      </c>
      <c r="D2" s="8" t="s">
        <v>22</v>
      </c>
      <c r="E2" s="8" t="s">
        <v>22</v>
      </c>
      <c r="F2" s="5" t="s">
        <v>13</v>
      </c>
      <c r="G2" s="3" t="s">
        <v>159</v>
      </c>
      <c r="H2" s="21" t="s">
        <v>160</v>
      </c>
      <c r="I2" s="3" t="s">
        <v>161</v>
      </c>
    </row>
    <row r="3">
      <c r="A3" s="20" t="s">
        <v>29</v>
      </c>
      <c r="B3" s="20" t="s">
        <v>162</v>
      </c>
      <c r="C3" s="20" t="s">
        <v>158</v>
      </c>
      <c r="D3" s="8" t="s">
        <v>22</v>
      </c>
      <c r="E3" s="8" t="s">
        <v>22</v>
      </c>
      <c r="F3" s="5" t="s">
        <v>13</v>
      </c>
      <c r="G3" s="3" t="s">
        <v>159</v>
      </c>
      <c r="H3" s="21" t="s">
        <v>160</v>
      </c>
      <c r="I3" s="3" t="s">
        <v>163</v>
      </c>
    </row>
    <row r="4">
      <c r="A4" s="20" t="s">
        <v>29</v>
      </c>
      <c r="B4" s="20" t="s">
        <v>164</v>
      </c>
      <c r="C4" s="20" t="s">
        <v>158</v>
      </c>
      <c r="D4" s="8" t="s">
        <v>22</v>
      </c>
      <c r="E4" s="8" t="s">
        <v>22</v>
      </c>
      <c r="F4" s="5" t="s">
        <v>13</v>
      </c>
      <c r="G4" s="3" t="s">
        <v>159</v>
      </c>
      <c r="H4" s="21" t="s">
        <v>160</v>
      </c>
      <c r="I4" s="3" t="s">
        <v>165</v>
      </c>
    </row>
    <row r="5" ht="30">
      <c r="A5" s="20" t="s">
        <v>29</v>
      </c>
      <c r="B5" s="20" t="s">
        <v>166</v>
      </c>
      <c r="C5" s="20" t="s">
        <v>158</v>
      </c>
      <c r="D5" s="8" t="s">
        <v>22</v>
      </c>
      <c r="E5" s="8" t="s">
        <v>22</v>
      </c>
      <c r="F5" s="5" t="s">
        <v>13</v>
      </c>
      <c r="G5" s="3" t="s">
        <v>159</v>
      </c>
      <c r="H5" s="21" t="s">
        <v>167</v>
      </c>
      <c r="I5" s="3" t="s">
        <v>165</v>
      </c>
    </row>
    <row r="6" ht="30">
      <c r="A6" s="20" t="s">
        <v>29</v>
      </c>
      <c r="B6" s="20" t="s">
        <v>168</v>
      </c>
      <c r="C6" s="20" t="s">
        <v>169</v>
      </c>
      <c r="D6" s="8" t="s">
        <v>22</v>
      </c>
      <c r="E6" s="8" t="s">
        <v>22</v>
      </c>
      <c r="F6" s="5" t="s">
        <v>13</v>
      </c>
      <c r="G6" s="3" t="s">
        <v>159</v>
      </c>
      <c r="H6" s="21" t="s">
        <v>170</v>
      </c>
      <c r="I6" s="3" t="s">
        <v>171</v>
      </c>
    </row>
    <row r="7" ht="30">
      <c r="A7" s="20" t="s">
        <v>29</v>
      </c>
      <c r="B7" s="20" t="s">
        <v>172</v>
      </c>
      <c r="C7" s="20" t="s">
        <v>169</v>
      </c>
      <c r="D7" s="8" t="s">
        <v>22</v>
      </c>
      <c r="E7" s="8" t="s">
        <v>22</v>
      </c>
      <c r="F7" s="5" t="s">
        <v>13</v>
      </c>
      <c r="G7" s="3" t="s">
        <v>159</v>
      </c>
      <c r="H7" s="21" t="s">
        <v>173</v>
      </c>
      <c r="I7" s="3" t="s">
        <v>161</v>
      </c>
    </row>
    <row r="8" ht="30">
      <c r="A8" s="20" t="s">
        <v>11</v>
      </c>
      <c r="B8" s="20" t="s">
        <v>174</v>
      </c>
      <c r="C8" s="20" t="s">
        <v>158</v>
      </c>
      <c r="D8" s="8" t="s">
        <v>22</v>
      </c>
      <c r="E8" s="8" t="s">
        <v>22</v>
      </c>
      <c r="F8" s="5" t="s">
        <v>13</v>
      </c>
      <c r="G8" s="3" t="s">
        <v>159</v>
      </c>
      <c r="H8" s="21" t="s">
        <v>160</v>
      </c>
      <c r="I8" s="3" t="s">
        <v>175</v>
      </c>
    </row>
    <row r="9" ht="60">
      <c r="A9" s="20" t="s">
        <v>11</v>
      </c>
      <c r="B9" s="20" t="s">
        <v>176</v>
      </c>
      <c r="C9" s="20" t="s">
        <v>158</v>
      </c>
      <c r="D9" s="8" t="s">
        <v>22</v>
      </c>
      <c r="E9" s="8" t="s">
        <v>22</v>
      </c>
      <c r="F9" s="5" t="s">
        <v>13</v>
      </c>
      <c r="G9" s="3" t="s">
        <v>159</v>
      </c>
      <c r="H9" s="21" t="s">
        <v>160</v>
      </c>
      <c r="I9" s="3" t="s">
        <v>177</v>
      </c>
    </row>
    <row r="10" ht="30">
      <c r="A10" s="20" t="s">
        <v>11</v>
      </c>
      <c r="B10" s="20" t="s">
        <v>178</v>
      </c>
      <c r="C10" s="20" t="s">
        <v>179</v>
      </c>
      <c r="D10" s="8" t="s">
        <v>22</v>
      </c>
      <c r="E10" s="8" t="s">
        <v>22</v>
      </c>
      <c r="F10" s="5" t="s">
        <v>13</v>
      </c>
      <c r="G10" s="3" t="s">
        <v>159</v>
      </c>
      <c r="H10" s="21" t="s">
        <v>180</v>
      </c>
      <c r="I10" s="3" t="s">
        <v>175</v>
      </c>
    </row>
    <row r="11">
      <c r="A11" s="20" t="s">
        <v>11</v>
      </c>
      <c r="B11" s="20" t="s">
        <v>181</v>
      </c>
      <c r="C11" s="20" t="s">
        <v>179</v>
      </c>
      <c r="D11" s="8" t="s">
        <v>22</v>
      </c>
      <c r="E11" s="8" t="s">
        <v>22</v>
      </c>
      <c r="F11" s="5" t="s">
        <v>13</v>
      </c>
      <c r="G11" s="3" t="s">
        <v>159</v>
      </c>
      <c r="H11" s="21" t="s">
        <v>182</v>
      </c>
      <c r="I11" s="3" t="s">
        <v>183</v>
      </c>
    </row>
    <row r="12" ht="45">
      <c r="A12" s="20" t="s">
        <v>11</v>
      </c>
      <c r="B12" s="20" t="s">
        <v>184</v>
      </c>
      <c r="C12" s="20" t="s">
        <v>179</v>
      </c>
      <c r="D12" s="8" t="s">
        <v>22</v>
      </c>
      <c r="E12" s="8" t="s">
        <v>22</v>
      </c>
      <c r="F12" s="5" t="s">
        <v>13</v>
      </c>
      <c r="G12" s="3" t="s">
        <v>159</v>
      </c>
      <c r="H12" s="21" t="s">
        <v>185</v>
      </c>
      <c r="I12" s="3" t="s">
        <v>175</v>
      </c>
    </row>
    <row r="13" ht="30">
      <c r="A13" s="20" t="s">
        <v>11</v>
      </c>
      <c r="B13" s="20" t="s">
        <v>186</v>
      </c>
      <c r="C13" s="20" t="s">
        <v>169</v>
      </c>
      <c r="D13" s="8" t="s">
        <v>22</v>
      </c>
      <c r="E13" s="8" t="s">
        <v>22</v>
      </c>
      <c r="F13" s="5" t="s">
        <v>13</v>
      </c>
      <c r="G13" s="3" t="s">
        <v>159</v>
      </c>
      <c r="H13" s="21" t="s">
        <v>187</v>
      </c>
      <c r="I13" s="3" t="s">
        <v>188</v>
      </c>
    </row>
    <row r="14" ht="30">
      <c r="A14" s="20" t="s">
        <v>84</v>
      </c>
      <c r="B14" s="20" t="s">
        <v>189</v>
      </c>
      <c r="C14" s="20" t="s">
        <v>169</v>
      </c>
      <c r="D14" s="8" t="s">
        <v>22</v>
      </c>
      <c r="E14" s="8" t="s">
        <v>22</v>
      </c>
      <c r="F14" s="5" t="s">
        <v>13</v>
      </c>
      <c r="G14" s="3" t="s">
        <v>159</v>
      </c>
      <c r="H14" s="21" t="s">
        <v>190</v>
      </c>
      <c r="I14" s="3" t="s">
        <v>183</v>
      </c>
    </row>
    <row r="15" ht="60">
      <c r="A15" s="20" t="s">
        <v>84</v>
      </c>
      <c r="B15" s="20" t="s">
        <v>191</v>
      </c>
      <c r="C15" s="20" t="s">
        <v>169</v>
      </c>
      <c r="D15" s="8" t="s">
        <v>22</v>
      </c>
      <c r="E15" s="8" t="s">
        <v>22</v>
      </c>
      <c r="F15" s="5" t="s">
        <v>13</v>
      </c>
      <c r="G15" s="3" t="s">
        <v>159</v>
      </c>
      <c r="H15" s="21" t="s">
        <v>192</v>
      </c>
      <c r="I15" s="3" t="s">
        <v>193</v>
      </c>
    </row>
    <row r="16" ht="30">
      <c r="A16" s="20" t="s">
        <v>84</v>
      </c>
      <c r="B16" s="20" t="s">
        <v>194</v>
      </c>
      <c r="C16" s="20" t="s">
        <v>169</v>
      </c>
      <c r="D16" s="8" t="s">
        <v>22</v>
      </c>
      <c r="E16" s="8" t="s">
        <v>22</v>
      </c>
      <c r="F16" s="5" t="s">
        <v>13</v>
      </c>
      <c r="G16" s="3" t="s">
        <v>195</v>
      </c>
      <c r="H16" s="21" t="s">
        <v>196</v>
      </c>
      <c r="I16" s="3" t="s">
        <v>175</v>
      </c>
    </row>
    <row r="17" ht="30">
      <c r="A17" s="20" t="s">
        <v>17</v>
      </c>
      <c r="B17" s="20" t="s">
        <v>197</v>
      </c>
      <c r="C17" s="20" t="s">
        <v>158</v>
      </c>
      <c r="D17" s="8" t="s">
        <v>22</v>
      </c>
      <c r="E17" s="8" t="s">
        <v>22</v>
      </c>
      <c r="F17" s="5" t="s">
        <v>13</v>
      </c>
      <c r="G17" s="3" t="s">
        <v>159</v>
      </c>
      <c r="H17" s="21" t="s">
        <v>198</v>
      </c>
      <c r="I17" s="3" t="s">
        <v>175</v>
      </c>
    </row>
    <row r="18">
      <c r="A18" s="20" t="s">
        <v>17</v>
      </c>
      <c r="B18" s="20" t="s">
        <v>199</v>
      </c>
      <c r="C18" s="20" t="s">
        <v>158</v>
      </c>
      <c r="D18" s="8" t="s">
        <v>22</v>
      </c>
      <c r="E18" s="8" t="s">
        <v>22</v>
      </c>
      <c r="F18" s="5" t="s">
        <v>13</v>
      </c>
      <c r="G18" s="3" t="s">
        <v>159</v>
      </c>
      <c r="H18" s="21" t="s">
        <v>160</v>
      </c>
      <c r="I18" s="3" t="s">
        <v>200</v>
      </c>
    </row>
    <row r="19" ht="60">
      <c r="A19" s="20" t="s">
        <v>17</v>
      </c>
      <c r="B19" s="20" t="s">
        <v>201</v>
      </c>
      <c r="C19" s="20" t="s">
        <v>179</v>
      </c>
      <c r="D19" s="8" t="s">
        <v>22</v>
      </c>
      <c r="E19" s="8" t="s">
        <v>22</v>
      </c>
      <c r="F19" s="5" t="s">
        <v>13</v>
      </c>
      <c r="G19" s="3" t="s">
        <v>159</v>
      </c>
      <c r="H19" s="21" t="s">
        <v>202</v>
      </c>
      <c r="I19" s="3" t="s">
        <v>203</v>
      </c>
    </row>
    <row r="20" ht="30">
      <c r="A20" s="20" t="s">
        <v>17</v>
      </c>
      <c r="B20" s="20" t="s">
        <v>204</v>
      </c>
      <c r="C20" s="20" t="s">
        <v>179</v>
      </c>
      <c r="D20" s="8" t="s">
        <v>22</v>
      </c>
      <c r="E20" s="8" t="s">
        <v>22</v>
      </c>
      <c r="F20" s="5" t="s">
        <v>13</v>
      </c>
      <c r="G20" s="3" t="s">
        <v>159</v>
      </c>
      <c r="H20" s="21" t="s">
        <v>205</v>
      </c>
      <c r="I20" s="3" t="s">
        <v>175</v>
      </c>
    </row>
    <row r="21" ht="30">
      <c r="A21" s="20" t="s">
        <v>17</v>
      </c>
      <c r="B21" s="20" t="s">
        <v>206</v>
      </c>
      <c r="C21" s="20" t="s">
        <v>169</v>
      </c>
      <c r="D21" s="8" t="s">
        <v>22</v>
      </c>
      <c r="E21" s="8" t="s">
        <v>22</v>
      </c>
      <c r="F21" s="5" t="s">
        <v>13</v>
      </c>
      <c r="G21" s="3" t="s">
        <v>159</v>
      </c>
      <c r="H21" s="21" t="s">
        <v>207</v>
      </c>
      <c r="I21" s="3" t="s">
        <v>175</v>
      </c>
    </row>
    <row r="22" ht="30">
      <c r="A22" s="20" t="s">
        <v>17</v>
      </c>
      <c r="B22" s="20" t="s">
        <v>208</v>
      </c>
      <c r="C22" s="20" t="s">
        <v>169</v>
      </c>
      <c r="D22" s="8" t="s">
        <v>22</v>
      </c>
      <c r="E22" s="8" t="s">
        <v>22</v>
      </c>
      <c r="F22" s="5" t="s">
        <v>13</v>
      </c>
      <c r="G22" s="3" t="s">
        <v>209</v>
      </c>
      <c r="H22" s="21" t="s">
        <v>210</v>
      </c>
      <c r="I22" s="3" t="s">
        <v>175</v>
      </c>
    </row>
    <row r="23" ht="30">
      <c r="A23" s="20" t="s">
        <v>211</v>
      </c>
      <c r="B23" s="20" t="s">
        <v>212</v>
      </c>
      <c r="C23" s="20" t="s">
        <v>179</v>
      </c>
      <c r="D23" s="8" t="s">
        <v>22</v>
      </c>
      <c r="E23" s="8" t="s">
        <v>22</v>
      </c>
      <c r="F23" s="5" t="s">
        <v>13</v>
      </c>
      <c r="G23" s="3" t="s">
        <v>159</v>
      </c>
      <c r="H23" s="21" t="s">
        <v>213</v>
      </c>
      <c r="I23" s="3" t="s">
        <v>214</v>
      </c>
    </row>
    <row r="24" ht="30">
      <c r="A24" s="20" t="s">
        <v>211</v>
      </c>
      <c r="B24" s="20" t="s">
        <v>215</v>
      </c>
      <c r="C24" s="20" t="s">
        <v>179</v>
      </c>
      <c r="D24" s="8" t="s">
        <v>22</v>
      </c>
      <c r="E24" s="8" t="s">
        <v>22</v>
      </c>
      <c r="F24" s="5" t="s">
        <v>13</v>
      </c>
      <c r="G24" s="3" t="s">
        <v>159</v>
      </c>
      <c r="H24" s="21" t="s">
        <v>216</v>
      </c>
      <c r="I24" s="3" t="s">
        <v>175</v>
      </c>
    </row>
    <row r="25">
      <c r="A25" s="20" t="s">
        <v>74</v>
      </c>
      <c r="B25" s="20" t="s">
        <v>217</v>
      </c>
      <c r="C25" s="20" t="s">
        <v>158</v>
      </c>
      <c r="D25" s="8" t="s">
        <v>22</v>
      </c>
      <c r="E25" s="8" t="s">
        <v>22</v>
      </c>
      <c r="F25" s="5" t="s">
        <v>13</v>
      </c>
      <c r="G25" s="3" t="s">
        <v>159</v>
      </c>
      <c r="H25" s="21" t="s">
        <v>160</v>
      </c>
      <c r="I25" s="3" t="s">
        <v>218</v>
      </c>
    </row>
    <row r="26" ht="30">
      <c r="A26" s="20" t="s">
        <v>74</v>
      </c>
      <c r="B26" s="20" t="s">
        <v>219</v>
      </c>
      <c r="C26" s="20" t="s">
        <v>158</v>
      </c>
      <c r="D26" s="8" t="s">
        <v>22</v>
      </c>
      <c r="E26" s="8" t="s">
        <v>22</v>
      </c>
      <c r="F26" s="5" t="s">
        <v>13</v>
      </c>
      <c r="G26" s="3" t="s">
        <v>159</v>
      </c>
      <c r="H26" s="21" t="s">
        <v>160</v>
      </c>
      <c r="I26" s="3" t="s">
        <v>220</v>
      </c>
    </row>
    <row r="27">
      <c r="A27" s="20" t="s">
        <v>74</v>
      </c>
      <c r="B27" s="20" t="s">
        <v>221</v>
      </c>
      <c r="C27" s="20" t="s">
        <v>158</v>
      </c>
      <c r="D27" s="8" t="s">
        <v>22</v>
      </c>
      <c r="E27" s="8" t="s">
        <v>22</v>
      </c>
      <c r="F27" s="5" t="s">
        <v>13</v>
      </c>
      <c r="G27" s="3" t="s">
        <v>159</v>
      </c>
      <c r="H27" s="21" t="s">
        <v>160</v>
      </c>
      <c r="I27" s="3" t="s">
        <v>220</v>
      </c>
    </row>
    <row r="28" ht="30">
      <c r="A28" s="20" t="s">
        <v>74</v>
      </c>
      <c r="B28" s="20" t="s">
        <v>222</v>
      </c>
      <c r="C28" s="20" t="s">
        <v>169</v>
      </c>
      <c r="D28" s="8" t="s">
        <v>22</v>
      </c>
      <c r="E28" s="8" t="s">
        <v>22</v>
      </c>
      <c r="F28" s="5" t="s">
        <v>13</v>
      </c>
      <c r="G28" s="3" t="s">
        <v>159</v>
      </c>
      <c r="H28" s="21" t="s">
        <v>223</v>
      </c>
      <c r="I28" s="3" t="s">
        <v>218</v>
      </c>
    </row>
    <row r="29" ht="30">
      <c r="A29" s="3" t="s">
        <v>29</v>
      </c>
      <c r="B29" s="3" t="s">
        <v>224</v>
      </c>
      <c r="C29" s="3" t="s">
        <v>158</v>
      </c>
      <c r="D29" s="8" t="s">
        <v>22</v>
      </c>
      <c r="E29" s="5" t="s">
        <v>13</v>
      </c>
      <c r="F29" s="5" t="s">
        <v>13</v>
      </c>
      <c r="G29" s="3" t="s">
        <v>225</v>
      </c>
      <c r="H29" s="21" t="s">
        <v>160</v>
      </c>
      <c r="I29" s="3" t="s">
        <v>226</v>
      </c>
    </row>
    <row r="30" ht="30">
      <c r="A30" s="22" t="s">
        <v>29</v>
      </c>
      <c r="B30" s="22" t="s">
        <v>227</v>
      </c>
      <c r="C30" s="22" t="s">
        <v>158</v>
      </c>
      <c r="D30" s="8" t="s">
        <v>22</v>
      </c>
      <c r="E30" s="23" t="s">
        <v>228</v>
      </c>
      <c r="F30" s="5" t="s">
        <v>13</v>
      </c>
      <c r="G30" s="3" t="s">
        <v>229</v>
      </c>
      <c r="H30" s="21" t="s">
        <v>230</v>
      </c>
      <c r="I30" s="3" t="s">
        <v>231</v>
      </c>
    </row>
    <row r="31" ht="30">
      <c r="A31" s="22" t="s">
        <v>29</v>
      </c>
      <c r="B31" s="22" t="s">
        <v>232</v>
      </c>
      <c r="C31" s="22" t="s">
        <v>158</v>
      </c>
      <c r="D31" s="23" t="s">
        <v>233</v>
      </c>
      <c r="E31" s="23" t="s">
        <v>233</v>
      </c>
      <c r="F31" s="5" t="s">
        <v>13</v>
      </c>
      <c r="G31" s="3" t="s">
        <v>234</v>
      </c>
      <c r="H31" s="21" t="s">
        <v>160</v>
      </c>
      <c r="I31" s="3" t="s">
        <v>165</v>
      </c>
    </row>
    <row r="32" ht="30">
      <c r="A32" s="22" t="s">
        <v>29</v>
      </c>
      <c r="B32" s="22" t="s">
        <v>235</v>
      </c>
      <c r="C32" s="22" t="s">
        <v>158</v>
      </c>
      <c r="D32" s="23" t="s">
        <v>233</v>
      </c>
      <c r="E32" s="23" t="s">
        <v>233</v>
      </c>
      <c r="F32" s="5" t="s">
        <v>13</v>
      </c>
      <c r="G32" s="3" t="s">
        <v>234</v>
      </c>
      <c r="H32" s="21" t="s">
        <v>160</v>
      </c>
      <c r="I32" s="3" t="s">
        <v>236</v>
      </c>
    </row>
    <row r="33">
      <c r="A33" s="3" t="s">
        <v>29</v>
      </c>
      <c r="B33" s="3" t="s">
        <v>237</v>
      </c>
      <c r="C33" s="3" t="s">
        <v>179</v>
      </c>
      <c r="D33" s="8" t="s">
        <v>22</v>
      </c>
      <c r="E33" s="5" t="s">
        <v>13</v>
      </c>
      <c r="F33" s="5" t="s">
        <v>13</v>
      </c>
      <c r="G33" s="3" t="s">
        <v>225</v>
      </c>
      <c r="H33" s="21" t="s">
        <v>238</v>
      </c>
      <c r="I33" s="3" t="s">
        <v>239</v>
      </c>
    </row>
    <row r="34" ht="30">
      <c r="A34" s="3" t="s">
        <v>29</v>
      </c>
      <c r="B34" s="3" t="s">
        <v>240</v>
      </c>
      <c r="C34" s="3" t="s">
        <v>179</v>
      </c>
      <c r="D34" s="8" t="s">
        <v>22</v>
      </c>
      <c r="E34" s="5" t="s">
        <v>13</v>
      </c>
      <c r="F34" s="5" t="s">
        <v>13</v>
      </c>
      <c r="G34" s="3" t="s">
        <v>225</v>
      </c>
      <c r="H34" s="21" t="s">
        <v>241</v>
      </c>
      <c r="I34" s="3" t="s">
        <v>226</v>
      </c>
    </row>
    <row r="35" ht="30">
      <c r="A35" s="3" t="s">
        <v>29</v>
      </c>
      <c r="B35" s="3" t="s">
        <v>242</v>
      </c>
      <c r="C35" s="3" t="s">
        <v>179</v>
      </c>
      <c r="D35" s="23" t="s">
        <v>243</v>
      </c>
      <c r="E35" s="5" t="s">
        <v>13</v>
      </c>
      <c r="F35" s="5" t="s">
        <v>13</v>
      </c>
      <c r="G35" s="3" t="s">
        <v>244</v>
      </c>
      <c r="H35" s="21" t="s">
        <v>245</v>
      </c>
      <c r="I35" s="3" t="s">
        <v>175</v>
      </c>
    </row>
    <row r="36" ht="30">
      <c r="A36" s="3" t="s">
        <v>29</v>
      </c>
      <c r="B36" s="3" t="s">
        <v>246</v>
      </c>
      <c r="C36" s="3" t="s">
        <v>179</v>
      </c>
      <c r="D36" s="23" t="s">
        <v>247</v>
      </c>
      <c r="E36" s="5" t="s">
        <v>13</v>
      </c>
      <c r="F36" s="5" t="s">
        <v>13</v>
      </c>
      <c r="G36" s="3" t="s">
        <v>248</v>
      </c>
      <c r="H36" s="21" t="s">
        <v>249</v>
      </c>
      <c r="I36" s="3" t="s">
        <v>175</v>
      </c>
    </row>
    <row r="37" ht="60">
      <c r="A37" s="22" t="s">
        <v>29</v>
      </c>
      <c r="B37" s="22" t="s">
        <v>250</v>
      </c>
      <c r="C37" s="22" t="s">
        <v>251</v>
      </c>
      <c r="D37" s="8" t="s">
        <v>22</v>
      </c>
      <c r="E37" s="23" t="s">
        <v>233</v>
      </c>
      <c r="F37" s="5" t="s">
        <v>13</v>
      </c>
      <c r="G37" s="3" t="s">
        <v>252</v>
      </c>
      <c r="H37" s="21" t="s">
        <v>253</v>
      </c>
      <c r="I37" s="3" t="s">
        <v>254</v>
      </c>
    </row>
    <row r="38">
      <c r="A38" s="3" t="s">
        <v>11</v>
      </c>
      <c r="B38" s="3" t="s">
        <v>255</v>
      </c>
      <c r="C38" s="3" t="s">
        <v>158</v>
      </c>
      <c r="D38" s="8" t="s">
        <v>22</v>
      </c>
      <c r="E38" s="5" t="s">
        <v>13</v>
      </c>
      <c r="F38" s="5" t="s">
        <v>13</v>
      </c>
      <c r="G38" s="3" t="s">
        <v>225</v>
      </c>
      <c r="H38" s="21" t="s">
        <v>160</v>
      </c>
      <c r="I38" s="3" t="s">
        <v>256</v>
      </c>
    </row>
    <row r="39" ht="30">
      <c r="A39" s="3" t="s">
        <v>11</v>
      </c>
      <c r="B39" s="3" t="s">
        <v>257</v>
      </c>
      <c r="C39" s="3" t="s">
        <v>158</v>
      </c>
      <c r="D39" s="8" t="s">
        <v>22</v>
      </c>
      <c r="E39" s="5" t="s">
        <v>13</v>
      </c>
      <c r="F39" s="5" t="s">
        <v>13</v>
      </c>
      <c r="G39" s="3" t="s">
        <v>225</v>
      </c>
      <c r="H39" s="21" t="s">
        <v>160</v>
      </c>
      <c r="I39" s="3" t="s">
        <v>175</v>
      </c>
    </row>
    <row r="40" ht="30">
      <c r="A40" s="3" t="s">
        <v>11</v>
      </c>
      <c r="B40" s="3" t="s">
        <v>258</v>
      </c>
      <c r="C40" s="3" t="s">
        <v>158</v>
      </c>
      <c r="D40" s="8" t="s">
        <v>22</v>
      </c>
      <c r="E40" s="5" t="s">
        <v>13</v>
      </c>
      <c r="F40" s="5" t="s">
        <v>13</v>
      </c>
      <c r="G40" s="3" t="s">
        <v>225</v>
      </c>
      <c r="H40" s="21" t="s">
        <v>160</v>
      </c>
      <c r="I40" s="3" t="s">
        <v>175</v>
      </c>
    </row>
    <row r="41">
      <c r="A41" s="3" t="s">
        <v>11</v>
      </c>
      <c r="B41" s="3" t="s">
        <v>259</v>
      </c>
      <c r="C41" s="3" t="s">
        <v>158</v>
      </c>
      <c r="D41" s="8" t="s">
        <v>22</v>
      </c>
      <c r="E41" s="5" t="s">
        <v>13</v>
      </c>
      <c r="F41" s="5" t="s">
        <v>13</v>
      </c>
      <c r="G41" s="3" t="s">
        <v>225</v>
      </c>
      <c r="H41" s="21" t="s">
        <v>160</v>
      </c>
      <c r="I41" s="3" t="s">
        <v>260</v>
      </c>
    </row>
    <row r="42">
      <c r="A42" s="3" t="s">
        <v>11</v>
      </c>
      <c r="B42" s="3" t="s">
        <v>261</v>
      </c>
      <c r="C42" s="3" t="s">
        <v>158</v>
      </c>
      <c r="D42" s="8" t="s">
        <v>22</v>
      </c>
      <c r="E42" s="5" t="s">
        <v>13</v>
      </c>
      <c r="F42" s="5" t="s">
        <v>13</v>
      </c>
      <c r="G42" s="3" t="s">
        <v>225</v>
      </c>
      <c r="H42" s="21" t="s">
        <v>160</v>
      </c>
      <c r="I42" s="3" t="s">
        <v>193</v>
      </c>
    </row>
    <row r="43">
      <c r="A43" s="3" t="s">
        <v>11</v>
      </c>
      <c r="B43" s="3" t="s">
        <v>262</v>
      </c>
      <c r="C43" s="3" t="s">
        <v>158</v>
      </c>
      <c r="D43" s="8" t="s">
        <v>22</v>
      </c>
      <c r="E43" s="5" t="s">
        <v>13</v>
      </c>
      <c r="F43" s="5" t="s">
        <v>13</v>
      </c>
      <c r="G43" s="3" t="s">
        <v>225</v>
      </c>
      <c r="H43" s="21" t="s">
        <v>160</v>
      </c>
      <c r="I43" s="3" t="s">
        <v>263</v>
      </c>
    </row>
    <row r="44">
      <c r="A44" s="3" t="s">
        <v>11</v>
      </c>
      <c r="B44" s="3" t="s">
        <v>264</v>
      </c>
      <c r="C44" s="3" t="s">
        <v>158</v>
      </c>
      <c r="D44" s="8" t="s">
        <v>22</v>
      </c>
      <c r="E44" s="5" t="s">
        <v>13</v>
      </c>
      <c r="F44" s="5" t="s">
        <v>13</v>
      </c>
      <c r="G44" s="3" t="s">
        <v>225</v>
      </c>
      <c r="H44" s="21" t="s">
        <v>160</v>
      </c>
      <c r="I44" s="3" t="s">
        <v>265</v>
      </c>
    </row>
    <row r="45" ht="30">
      <c r="A45" s="3" t="s">
        <v>11</v>
      </c>
      <c r="B45" s="3" t="s">
        <v>266</v>
      </c>
      <c r="C45" s="3" t="s">
        <v>158</v>
      </c>
      <c r="D45" s="8" t="s">
        <v>22</v>
      </c>
      <c r="E45" s="5" t="s">
        <v>13</v>
      </c>
      <c r="F45" s="5" t="s">
        <v>13</v>
      </c>
      <c r="G45" s="3" t="s">
        <v>225</v>
      </c>
      <c r="H45" s="21" t="s">
        <v>160</v>
      </c>
      <c r="I45" s="3" t="s">
        <v>267</v>
      </c>
    </row>
    <row r="46" ht="30">
      <c r="A46" s="3" t="s">
        <v>11</v>
      </c>
      <c r="B46" s="3" t="s">
        <v>268</v>
      </c>
      <c r="C46" s="3" t="s">
        <v>179</v>
      </c>
      <c r="D46" s="8" t="s">
        <v>22</v>
      </c>
      <c r="E46" s="5" t="s">
        <v>13</v>
      </c>
      <c r="F46" s="5" t="s">
        <v>13</v>
      </c>
      <c r="G46" s="3" t="s">
        <v>225</v>
      </c>
      <c r="H46" s="21" t="s">
        <v>269</v>
      </c>
      <c r="I46" s="3" t="s">
        <v>175</v>
      </c>
    </row>
    <row r="47">
      <c r="A47" s="3" t="s">
        <v>11</v>
      </c>
      <c r="B47" s="3" t="s">
        <v>270</v>
      </c>
      <c r="C47" s="3" t="s">
        <v>179</v>
      </c>
      <c r="D47" s="8" t="s">
        <v>22</v>
      </c>
      <c r="E47" s="5" t="s">
        <v>13</v>
      </c>
      <c r="F47" s="5" t="s">
        <v>13</v>
      </c>
      <c r="G47" s="3" t="s">
        <v>225</v>
      </c>
      <c r="H47" s="21" t="s">
        <v>271</v>
      </c>
      <c r="I47" s="3" t="s">
        <v>272</v>
      </c>
    </row>
    <row r="48" ht="30">
      <c r="A48" s="3" t="s">
        <v>11</v>
      </c>
      <c r="B48" s="3" t="s">
        <v>273</v>
      </c>
      <c r="C48" s="3" t="s">
        <v>179</v>
      </c>
      <c r="D48" s="8" t="s">
        <v>22</v>
      </c>
      <c r="E48" s="5" t="s">
        <v>13</v>
      </c>
      <c r="F48" s="5" t="s">
        <v>13</v>
      </c>
      <c r="G48" s="3" t="s">
        <v>225</v>
      </c>
      <c r="H48" s="21" t="s">
        <v>274</v>
      </c>
      <c r="I48" s="3" t="s">
        <v>175</v>
      </c>
    </row>
    <row r="49" ht="30">
      <c r="A49" s="3" t="s">
        <v>11</v>
      </c>
      <c r="B49" s="3" t="s">
        <v>275</v>
      </c>
      <c r="C49" s="3" t="s">
        <v>179</v>
      </c>
      <c r="D49" s="8" t="s">
        <v>22</v>
      </c>
      <c r="E49" s="5" t="s">
        <v>13</v>
      </c>
      <c r="F49" s="5" t="s">
        <v>13</v>
      </c>
      <c r="G49" s="3" t="s">
        <v>225</v>
      </c>
      <c r="H49" s="21" t="s">
        <v>276</v>
      </c>
      <c r="I49" s="3" t="s">
        <v>175</v>
      </c>
    </row>
    <row r="50" ht="45">
      <c r="A50" s="3" t="s">
        <v>11</v>
      </c>
      <c r="B50" s="3" t="s">
        <v>277</v>
      </c>
      <c r="C50" s="3" t="s">
        <v>179</v>
      </c>
      <c r="D50" s="8" t="s">
        <v>22</v>
      </c>
      <c r="E50" s="5" t="s">
        <v>13</v>
      </c>
      <c r="F50" s="5" t="s">
        <v>13</v>
      </c>
      <c r="G50" s="3" t="s">
        <v>225</v>
      </c>
      <c r="H50" s="21" t="s">
        <v>278</v>
      </c>
      <c r="I50" s="3" t="s">
        <v>175</v>
      </c>
    </row>
    <row r="51" ht="30">
      <c r="A51" s="3" t="s">
        <v>11</v>
      </c>
      <c r="B51" s="3" t="s">
        <v>279</v>
      </c>
      <c r="C51" s="3" t="s">
        <v>179</v>
      </c>
      <c r="D51" s="8" t="s">
        <v>22</v>
      </c>
      <c r="E51" s="5" t="s">
        <v>13</v>
      </c>
      <c r="F51" s="5" t="s">
        <v>13</v>
      </c>
      <c r="G51" s="3" t="s">
        <v>225</v>
      </c>
      <c r="H51" s="21" t="s">
        <v>280</v>
      </c>
      <c r="I51" s="3" t="s">
        <v>175</v>
      </c>
    </row>
    <row r="52" ht="30">
      <c r="A52" s="3" t="s">
        <v>11</v>
      </c>
      <c r="B52" s="3" t="s">
        <v>281</v>
      </c>
      <c r="C52" s="3" t="s">
        <v>169</v>
      </c>
      <c r="D52" s="8" t="s">
        <v>22</v>
      </c>
      <c r="E52" s="5" t="s">
        <v>13</v>
      </c>
      <c r="F52" s="5" t="s">
        <v>13</v>
      </c>
      <c r="G52" s="3" t="s">
        <v>225</v>
      </c>
      <c r="H52" s="21" t="s">
        <v>282</v>
      </c>
      <c r="I52" s="3" t="s">
        <v>183</v>
      </c>
    </row>
    <row r="53" ht="30">
      <c r="A53" s="3" t="s">
        <v>11</v>
      </c>
      <c r="B53" s="3" t="s">
        <v>283</v>
      </c>
      <c r="C53" s="3" t="s">
        <v>169</v>
      </c>
      <c r="D53" s="8" t="s">
        <v>22</v>
      </c>
      <c r="E53" s="5" t="s">
        <v>13</v>
      </c>
      <c r="F53" s="5" t="s">
        <v>13</v>
      </c>
      <c r="G53" s="3" t="s">
        <v>225</v>
      </c>
      <c r="H53" s="21" t="s">
        <v>284</v>
      </c>
      <c r="I53" s="3" t="s">
        <v>260</v>
      </c>
    </row>
    <row r="54" ht="30">
      <c r="A54" s="22" t="s">
        <v>11</v>
      </c>
      <c r="B54" s="22" t="s">
        <v>285</v>
      </c>
      <c r="C54" s="22" t="s">
        <v>169</v>
      </c>
      <c r="D54" s="8" t="s">
        <v>22</v>
      </c>
      <c r="E54" s="23" t="s">
        <v>286</v>
      </c>
      <c r="F54" s="5" t="s">
        <v>13</v>
      </c>
      <c r="G54" s="3" t="s">
        <v>287</v>
      </c>
      <c r="H54" s="21" t="s">
        <v>288</v>
      </c>
      <c r="I54" s="3" t="s">
        <v>220</v>
      </c>
    </row>
    <row r="55" ht="30">
      <c r="A55" s="3" t="s">
        <v>11</v>
      </c>
      <c r="B55" s="3" t="s">
        <v>289</v>
      </c>
      <c r="C55" s="3" t="s">
        <v>169</v>
      </c>
      <c r="D55" s="8" t="s">
        <v>22</v>
      </c>
      <c r="E55" s="5" t="s">
        <v>13</v>
      </c>
      <c r="F55" s="5" t="s">
        <v>13</v>
      </c>
      <c r="G55" s="3" t="s">
        <v>225</v>
      </c>
      <c r="H55" s="21" t="s">
        <v>290</v>
      </c>
      <c r="I55" s="3" t="s">
        <v>175</v>
      </c>
    </row>
    <row r="56" ht="30">
      <c r="A56" s="3" t="s">
        <v>84</v>
      </c>
      <c r="B56" s="3" t="s">
        <v>291</v>
      </c>
      <c r="C56" s="3" t="s">
        <v>169</v>
      </c>
      <c r="D56" s="8" t="s">
        <v>22</v>
      </c>
      <c r="E56" s="5" t="s">
        <v>13</v>
      </c>
      <c r="F56" s="5" t="s">
        <v>13</v>
      </c>
      <c r="G56" s="3" t="s">
        <v>225</v>
      </c>
      <c r="H56" s="21" t="s">
        <v>190</v>
      </c>
      <c r="I56" s="3" t="s">
        <v>292</v>
      </c>
    </row>
    <row r="57" ht="30">
      <c r="A57" s="22" t="s">
        <v>84</v>
      </c>
      <c r="B57" s="22" t="s">
        <v>293</v>
      </c>
      <c r="C57" s="22" t="s">
        <v>169</v>
      </c>
      <c r="D57" s="8" t="s">
        <v>22</v>
      </c>
      <c r="E57" s="23" t="s">
        <v>233</v>
      </c>
      <c r="F57" s="5" t="s">
        <v>13</v>
      </c>
      <c r="G57" s="3" t="s">
        <v>294</v>
      </c>
      <c r="H57" s="21" t="s">
        <v>295</v>
      </c>
      <c r="I57" s="3" t="s">
        <v>296</v>
      </c>
    </row>
    <row r="58" ht="30">
      <c r="A58" s="22" t="s">
        <v>84</v>
      </c>
      <c r="B58" s="22" t="s">
        <v>297</v>
      </c>
      <c r="C58" s="22" t="s">
        <v>169</v>
      </c>
      <c r="D58" s="8" t="s">
        <v>22</v>
      </c>
      <c r="E58" s="23" t="s">
        <v>298</v>
      </c>
      <c r="F58" s="5" t="s">
        <v>13</v>
      </c>
      <c r="G58" s="3" t="s">
        <v>299</v>
      </c>
      <c r="H58" s="21" t="s">
        <v>300</v>
      </c>
      <c r="I58" s="3" t="s">
        <v>165</v>
      </c>
    </row>
    <row r="59" ht="30">
      <c r="A59" s="22" t="s">
        <v>17</v>
      </c>
      <c r="B59" s="22" t="s">
        <v>301</v>
      </c>
      <c r="C59" s="22" t="s">
        <v>158</v>
      </c>
      <c r="D59" s="23" t="s">
        <v>302</v>
      </c>
      <c r="E59" s="23" t="s">
        <v>302</v>
      </c>
      <c r="F59" s="5" t="s">
        <v>13</v>
      </c>
      <c r="G59" s="3" t="s">
        <v>303</v>
      </c>
      <c r="H59" s="21" t="s">
        <v>304</v>
      </c>
      <c r="I59" s="3" t="s">
        <v>231</v>
      </c>
    </row>
    <row r="60" ht="30">
      <c r="A60" s="3" t="s">
        <v>17</v>
      </c>
      <c r="B60" s="3" t="s">
        <v>305</v>
      </c>
      <c r="C60" s="3" t="s">
        <v>169</v>
      </c>
      <c r="D60" s="8" t="s">
        <v>22</v>
      </c>
      <c r="E60" s="5" t="s">
        <v>13</v>
      </c>
      <c r="F60" s="5" t="s">
        <v>13</v>
      </c>
      <c r="G60" s="3" t="s">
        <v>225</v>
      </c>
      <c r="H60" s="21" t="s">
        <v>306</v>
      </c>
      <c r="I60" s="3" t="s">
        <v>307</v>
      </c>
    </row>
    <row r="61" ht="30">
      <c r="A61" s="3" t="s">
        <v>17</v>
      </c>
      <c r="B61" s="3" t="s">
        <v>308</v>
      </c>
      <c r="C61" s="3" t="s">
        <v>169</v>
      </c>
      <c r="D61" s="8" t="s">
        <v>22</v>
      </c>
      <c r="E61" s="5" t="s">
        <v>13</v>
      </c>
      <c r="F61" s="5" t="s">
        <v>13</v>
      </c>
      <c r="G61" s="3" t="s">
        <v>225</v>
      </c>
      <c r="H61" s="21" t="s">
        <v>309</v>
      </c>
      <c r="I61" s="3" t="s">
        <v>175</v>
      </c>
    </row>
    <row r="62" ht="30">
      <c r="A62" s="3" t="s">
        <v>17</v>
      </c>
      <c r="B62" s="3" t="s">
        <v>310</v>
      </c>
      <c r="C62" s="3" t="s">
        <v>169</v>
      </c>
      <c r="D62" s="8" t="s">
        <v>22</v>
      </c>
      <c r="E62" s="5" t="s">
        <v>13</v>
      </c>
      <c r="F62" s="5" t="s">
        <v>13</v>
      </c>
      <c r="G62" s="3" t="s">
        <v>225</v>
      </c>
      <c r="H62" s="21" t="s">
        <v>210</v>
      </c>
      <c r="I62" s="3" t="s">
        <v>311</v>
      </c>
    </row>
    <row r="63" ht="30">
      <c r="A63" s="3" t="s">
        <v>17</v>
      </c>
      <c r="B63" s="3" t="s">
        <v>312</v>
      </c>
      <c r="C63" s="3" t="s">
        <v>169</v>
      </c>
      <c r="D63" s="8" t="s">
        <v>22</v>
      </c>
      <c r="E63" s="5" t="s">
        <v>13</v>
      </c>
      <c r="F63" s="5" t="s">
        <v>13</v>
      </c>
      <c r="G63" s="3" t="s">
        <v>225</v>
      </c>
      <c r="H63" s="21" t="s">
        <v>313</v>
      </c>
      <c r="I63" s="3" t="s">
        <v>311</v>
      </c>
    </row>
    <row r="64" ht="30">
      <c r="A64" s="3" t="s">
        <v>74</v>
      </c>
      <c r="B64" s="3" t="s">
        <v>314</v>
      </c>
      <c r="C64" s="3" t="s">
        <v>158</v>
      </c>
      <c r="D64" s="8" t="s">
        <v>22</v>
      </c>
      <c r="E64" s="5" t="s">
        <v>13</v>
      </c>
      <c r="F64" s="5" t="s">
        <v>13</v>
      </c>
      <c r="G64" s="3" t="s">
        <v>225</v>
      </c>
      <c r="H64" s="21" t="s">
        <v>160</v>
      </c>
      <c r="I64" s="3" t="s">
        <v>315</v>
      </c>
    </row>
    <row r="65">
      <c r="A65" s="22" t="s">
        <v>74</v>
      </c>
      <c r="B65" s="22" t="s">
        <v>316</v>
      </c>
      <c r="C65" s="22" t="s">
        <v>158</v>
      </c>
      <c r="D65" s="8" t="s">
        <v>22</v>
      </c>
      <c r="E65" s="23" t="s">
        <v>286</v>
      </c>
      <c r="F65" s="5" t="s">
        <v>13</v>
      </c>
      <c r="G65" s="3" t="s">
        <v>287</v>
      </c>
      <c r="H65" s="21" t="s">
        <v>160</v>
      </c>
      <c r="I65" s="3" t="s">
        <v>220</v>
      </c>
    </row>
    <row r="66">
      <c r="A66" s="3" t="s">
        <v>74</v>
      </c>
      <c r="B66" s="3" t="s">
        <v>317</v>
      </c>
      <c r="C66" s="3" t="s">
        <v>179</v>
      </c>
      <c r="D66" s="8" t="s">
        <v>22</v>
      </c>
      <c r="E66" s="5" t="s">
        <v>13</v>
      </c>
      <c r="F66" s="5" t="s">
        <v>13</v>
      </c>
      <c r="G66" s="3" t="s">
        <v>225</v>
      </c>
      <c r="H66" s="21" t="s">
        <v>318</v>
      </c>
      <c r="I66" s="3" t="s">
        <v>315</v>
      </c>
    </row>
    <row r="67" ht="30">
      <c r="A67" s="22" t="s">
        <v>74</v>
      </c>
      <c r="B67" s="22" t="s">
        <v>319</v>
      </c>
      <c r="C67" s="22" t="s">
        <v>179</v>
      </c>
      <c r="D67" s="8" t="s">
        <v>22</v>
      </c>
      <c r="E67" s="23" t="s">
        <v>286</v>
      </c>
      <c r="F67" s="5" t="s">
        <v>13</v>
      </c>
      <c r="G67" s="3" t="s">
        <v>287</v>
      </c>
      <c r="H67" s="21" t="s">
        <v>320</v>
      </c>
      <c r="I67" s="3" t="s">
        <v>220</v>
      </c>
    </row>
    <row r="68" ht="30">
      <c r="A68" s="22" t="s">
        <v>74</v>
      </c>
      <c r="B68" s="22" t="s">
        <v>321</v>
      </c>
      <c r="C68" s="22" t="s">
        <v>251</v>
      </c>
      <c r="D68" s="8" t="s">
        <v>22</v>
      </c>
      <c r="E68" s="23" t="s">
        <v>286</v>
      </c>
      <c r="F68" s="5" t="s">
        <v>13</v>
      </c>
      <c r="G68" s="3" t="s">
        <v>287</v>
      </c>
      <c r="H68" s="21" t="s">
        <v>322</v>
      </c>
      <c r="I68" s="3" t="s">
        <v>220</v>
      </c>
    </row>
  </sheetData>
  <autoFilter ref="A1:I68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5.7109375" customWidth="1"/>
    <col min="2" max="2" width="30.710938" customWidth="1"/>
    <col min="3" max="3" width="38.710938" customWidth="1"/>
    <col min="4" max="4" width="60.710938" customWidth="1"/>
    <col min="5" max="5" width="50.710938" customWidth="1"/>
  </cols>
  <sheetData>
    <row r="1" ht="84" customHeight="1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</row>
    <row r="2" ht="60">
      <c r="A2" s="3">
        <v>1</v>
      </c>
      <c r="B2" s="24" t="s">
        <v>328</v>
      </c>
      <c r="C2" s="3" t="s">
        <v>329</v>
      </c>
      <c r="D2" s="3" t="s">
        <v>330</v>
      </c>
      <c r="E2" s="3" t="s">
        <v>331</v>
      </c>
    </row>
    <row r="3" ht="45">
      <c r="A3" s="3">
        <v>2</v>
      </c>
      <c r="B3" s="4" t="s">
        <v>332</v>
      </c>
      <c r="C3" s="3" t="s">
        <v>333</v>
      </c>
      <c r="D3" s="3" t="s">
        <v>334</v>
      </c>
      <c r="E3" s="3" t="s">
        <v>335</v>
      </c>
    </row>
    <row r="4" ht="45">
      <c r="A4" s="3">
        <v>3</v>
      </c>
      <c r="B4" s="4" t="s">
        <v>336</v>
      </c>
      <c r="C4" s="3" t="s">
        <v>337</v>
      </c>
      <c r="D4" s="3" t="s">
        <v>338</v>
      </c>
      <c r="E4" s="3" t="s">
        <v>339</v>
      </c>
    </row>
    <row r="5" ht="45">
      <c r="A5" s="3">
        <v>4</v>
      </c>
      <c r="B5" s="4" t="s">
        <v>340</v>
      </c>
      <c r="C5" s="3" t="s">
        <v>341</v>
      </c>
      <c r="D5" s="3" t="s">
        <v>342</v>
      </c>
      <c r="E5" s="3" t="s">
        <v>343</v>
      </c>
    </row>
    <row r="6" ht="75">
      <c r="A6" s="3">
        <v>5</v>
      </c>
      <c r="B6" s="4" t="s">
        <v>344</v>
      </c>
      <c r="C6" s="3" t="s">
        <v>22</v>
      </c>
      <c r="D6" s="3" t="s">
        <v>345</v>
      </c>
      <c r="E6" s="3" t="s">
        <v>346</v>
      </c>
    </row>
    <row r="7" ht="75">
      <c r="A7" s="3">
        <v>6</v>
      </c>
      <c r="B7" s="4" t="s">
        <v>347</v>
      </c>
      <c r="C7" s="3" t="s">
        <v>22</v>
      </c>
      <c r="D7" s="3" t="s">
        <v>348</v>
      </c>
      <c r="E7" s="3" t="s">
        <v>349</v>
      </c>
    </row>
    <row r="8" ht="45">
      <c r="A8" s="3">
        <v>7</v>
      </c>
      <c r="B8" s="4" t="s">
        <v>350</v>
      </c>
      <c r="C8" s="3" t="s">
        <v>351</v>
      </c>
      <c r="D8" s="3" t="s">
        <v>352</v>
      </c>
      <c r="E8" s="3" t="s">
        <v>353</v>
      </c>
    </row>
  </sheetData>
  <autoFilter ref="A1:E8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8.710938" customWidth="1"/>
    <col min="2" max="2" width="110.71094" customWidth="1"/>
  </cols>
  <sheetData>
    <row r="1" ht="45">
      <c r="A1" s="4" t="s">
        <v>354</v>
      </c>
      <c r="B1" s="3" t="s">
        <v>355</v>
      </c>
    </row>
    <row r="2" ht="30">
      <c r="A2" s="4" t="s">
        <v>356</v>
      </c>
      <c r="B2" s="3" t="s">
        <v>357</v>
      </c>
    </row>
    <row r="3" ht="30">
      <c r="A3" s="4" t="s">
        <v>358</v>
      </c>
      <c r="B3" s="3" t="s">
        <v>359</v>
      </c>
    </row>
    <row r="4">
      <c r="A4" s="4" t="s">
        <v>360</v>
      </c>
      <c r="B4" s="3" t="s">
        <v>361</v>
      </c>
    </row>
    <row r="5" ht="45">
      <c r="A5" s="4" t="s">
        <v>9</v>
      </c>
      <c r="B5" s="3" t="s">
        <v>362</v>
      </c>
    </row>
    <row r="6" ht="45">
      <c r="A6" s="4" t="s">
        <v>363</v>
      </c>
      <c r="B6" s="3" t="s">
        <v>364</v>
      </c>
    </row>
    <row r="7" ht="45">
      <c r="A7" s="4" t="s">
        <v>365</v>
      </c>
      <c r="B7" s="3" t="s">
        <v>366</v>
      </c>
    </row>
    <row r="8">
      <c r="A8" s="4" t="s">
        <v>367</v>
      </c>
      <c r="B8" s="3" t="s">
        <v>368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enova365 Kadry Płace – licencja Złota a Platynowa</dc:title>
  <dc:creator>ET-097-VM2\admin.vpn</dc:creator>
  <cp:lastModifiedBy>ET-097-VM2\admin.vpn</cp:lastModifiedBy>
  <dcterms:created xsi:type="dcterms:W3CDTF">2026-09-10T11:04:51Z</dcterms:created>
  <dcterms:modified xsi:type="dcterms:W3CDTF">2026-09-10T11:04:52Z</dcterms:modified>
</cp:coreProperties>
</file>