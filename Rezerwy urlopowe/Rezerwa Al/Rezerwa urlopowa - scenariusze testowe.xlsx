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enovaServer\Projekty\Enova\Rezerwy urlopowe\Rezerwa Al\"/>
    </mc:Choice>
  </mc:AlternateContent>
  <bookViews>
    <workbookView xWindow="0" yWindow="0" windowWidth="0" windowHeight="0"/>
  </bookViews>
  <sheets>
    <sheet name="Scenariusze" sheetId="1" r:id="rId1"/>
    <sheet name="Kalkulator" sheetId="2" r:id="rId2"/>
  </sheets>
  <definedNames>
    <definedName name="_xlnm._FilterDatabase" localSheetId="0" hidden="1">Scenariusze!$A$1:$I$22</definedName>
  </definedNames>
  <calcPr/>
</workbook>
</file>

<file path=xl/calcChain.xml><?xml version="1.0" encoding="utf-8"?>
<calcChain xmlns="http://schemas.openxmlformats.org/spreadsheetml/2006/main">
  <c i="2" l="1" r="U7"/>
  <c r="S7"/>
  <c r="P7"/>
  <c r="Q7"/>
  <c r="N7"/>
  <c r="T7"/>
  <c r="U6"/>
  <c r="S6"/>
  <c r="P6"/>
  <c r="Q6"/>
  <c r="N6"/>
  <c r="T6"/>
  <c r="U5"/>
  <c r="S5"/>
  <c r="P5"/>
  <c r="Q5"/>
  <c r="N5"/>
  <c r="T5"/>
  <c r="U4"/>
  <c r="S4"/>
  <c r="P4"/>
  <c r="Q4"/>
  <c r="N4"/>
  <c r="T4"/>
  <c r="U3"/>
  <c r="S3"/>
  <c r="P3"/>
  <c r="Q3"/>
  <c r="N3"/>
  <c r="O3"/>
  <c r="R3"/>
  <c r="U2"/>
  <c r="S2"/>
  <c r="P2"/>
  <c r="Q2"/>
  <c r="N2"/>
  <c r="T2"/>
  <c l="1" r="T3"/>
  <c r="O5"/>
  <c r="R5"/>
  <c r="O7"/>
  <c r="R7"/>
  <c r="O2"/>
  <c r="R2"/>
  <c r="O4"/>
  <c r="R4"/>
  <c r="O6"/>
  <c r="R6"/>
</calcChain>
</file>

<file path=xl/sharedStrings.xml><?xml version="1.0" encoding="utf-8"?>
<sst xmlns="http://schemas.openxmlformats.org/spreadsheetml/2006/main">
  <si>
    <t>ID</t>
  </si>
  <si>
    <t>Obszar</t>
  </si>
  <si>
    <t>Scenariusz</t>
  </si>
  <si>
    <t>Dane wejściowe</t>
  </si>
  <si>
    <t>Kroki</t>
  </si>
  <si>
    <t>Oczekiwany wynik</t>
  </si>
  <si>
    <t>Wynik testu</t>
  </si>
  <si>
    <t>Status (OK/BŁĄD)</t>
  </si>
  <si>
    <t>Uwagi</t>
  </si>
  <si>
    <t>RU-01</t>
  </si>
  <si>
    <t>Urlop</t>
  </si>
  <si>
    <t>Pełny etat, bez zaległego, rezerwa za luty</t>
  </si>
  <si>
    <t>Etat 1/1 od 2020, limit 2026 = 26 dni (208 h), zaległy 0. Urlop wypoczynkowy 3 dni w styczniu (24 h). Pensja 6 000 zł stała, brak zmiennych.</t>
  </si>
  <si>
    <t>1. Kadry i płace → Pracownicy: zaznaczyć pracownika.
2. Czynności → Nalicz planowane listy płac: definicja „Rezerwa urlopowa”, okres = miesiąc rezerwy, typ wypłaty Etat.
3. Płace → Planowane listy płac: otworzyć wypłatę pracownika, element „Rezerwa urlopowa” (zakładka Zapis obliczeń).</t>
  </si>
  <si>
    <t>Zaległy 0; bieżący = 208 × 2/12 = 34,67 h = 4,33 dni; wykorzystany 3,00 dni; godziny rezerwy 10,67 h. Podstawa 1 = 6 000,00. Kwota = 10,67 h × 6 000 / (współczynnik × 1) / 8 (patrz arkusz Kalkulator, wiersz RU-01).</t>
  </si>
  <si>
    <t>RU-02</t>
  </si>
  <si>
    <t>Zaległy z poprzedniego roku</t>
  </si>
  <si>
    <t>Jak RU-01, ale zaległy z 2025 = 5 dni (40 h); urlop 10 dni (80 h) do 31.05; rezerwa za maj.</t>
  </si>
  <si>
    <t>Zaległy 5,00 dni; bieżący = 208 × 5/12 = 86,67 h = 10,83 dni; wykorzystany 10,00 dni; rezerwa 46,67 h (5,83 dni).</t>
  </si>
  <si>
    <t>RU-03</t>
  </si>
  <si>
    <t>1/2 etatu</t>
  </si>
  <si>
    <t>Etat 1/2, limit 26 dni = 104 h, zaległy 0, wykorzystane 16 h do 30.06, pensja 3 000 zł; rezerwa za czerwiec.</t>
  </si>
  <si>
    <t>Bieżący = 104 × 6/12 = 52 h; rezerwa 36 h. Dni w kolumnach liczone po 4 h (8 h × 1/2): bieżący 13,00, wykorzystany 4,00. Stawka 1 h = 3 000 / (współczynnik × 0,5) / 8.</t>
  </si>
  <si>
    <t>RU-04</t>
  </si>
  <si>
    <t>Urlop pobrany ponad stan (ujemna rezerwa)</t>
  </si>
  <si>
    <t>Zaległy 0, limit 208 h, w lutym pracownik wykorzystał już 10 dni (80 h).</t>
  </si>
  <si>
    <t>Stan ujemny → rezerwa 0, element nie powstaje (Generuj zerowy = Nie). W Zapisie obliczeń: „Ujemny stan urlopu - rezerwa = 0.”</t>
  </si>
  <si>
    <t>RU-05</t>
  </si>
  <si>
    <t>Pracownik zwolniony w miesiącu rezerwy</t>
  </si>
  <si>
    <t>Umowa rozwiązana 15.02.2026 (ekwiwalent na liście głównej). Rezerwa za luty.</t>
  </si>
  <si>
    <t>Pracownik pominięty – brak elementu „Rezerwa urlopowa”.</t>
  </si>
  <si>
    <t>RU-06</t>
  </si>
  <si>
    <t>Urlop dodatkowy (niepełnosprawność)</t>
  </si>
  <si>
    <t>Pracownik z limitem urlopu dodatkowego 10 dni oprócz wypoczynkowego.</t>
  </si>
  <si>
    <t>Zaległy/bieżący/wykorzystany obejmują oba limity (wypoczynkowy + dodatkowy) – dwa wpisy „Limit …” w Zapisie obliczeń.</t>
  </si>
  <si>
    <t>RU-07</t>
  </si>
  <si>
    <t>Podstawa 1</t>
  </si>
  <si>
    <t>Składniki zmienne – średnia z 3 miesięcy</t>
  </si>
  <si>
    <t>Pensja 6 000 w 12/2025, 01/2026, 02/2026. Premia (element wliczany do ekwiwalentu) 1 200 za 12/2025 i 600 za 02/2026. Rezerwa za luty.</t>
  </si>
  <si>
    <t>Podstawa 1 = (6 000 × 3 + 1 800) / 3 = 6 600,00. Składniki liczone wg okresu „za”, nie daty wypłaty.</t>
  </si>
  <si>
    <t>RU-08</t>
  </si>
  <si>
    <t>Podwyżka w trakcie 3 miesięcy</t>
  </si>
  <si>
    <t>Pensja 6 000 do 31.01.2026, od 01.02.2026 7 000. Rezerwa za luty.</t>
  </si>
  <si>
    <t>Podstawa 1 = (6 000 + 6 000 + 7 000) / 3 = 6 333,33 (zasadnicze nominalne z kartoteki).</t>
  </si>
  <si>
    <t>RU-09</t>
  </si>
  <si>
    <t>Zatrudniony w trakcie okresu</t>
  </si>
  <si>
    <t>Zatrudnienie od 01.01.2026, pensja 6 000. Rezerwa za luty.</t>
  </si>
  <si>
    <t>Średnia z 2 miesięcy (01 i 02/2026) = 6 000,00 – grudzień pominięty (brak zatrudnienia).</t>
  </si>
  <si>
    <t>RU-10</t>
  </si>
  <si>
    <t>Nieobecność chorobowa nie obniża podstawy</t>
  </si>
  <si>
    <t>Pensja 6 000; w styczniu 10 dni chorobowego (zasadnicze naliczone pomniejszone).</t>
  </si>
  <si>
    <t>Podstawa 1 = 6 000,00 (zasadnicze nominalne). Przy przełączniku ZASADNICZE_NOMINALNE = false podstawa byłaby niższa – decyzja klienta.</t>
  </si>
  <si>
    <t>RU-11</t>
  </si>
  <si>
    <t>Podstawa 2</t>
  </si>
  <si>
    <t>Zgodność ze standardowym ekwiwalentem enova</t>
  </si>
  <si>
    <t>Dowolny pracownik z RU-01/RU-07.</t>
  </si>
  <si>
    <t>1. Kadry i płace → Pracownicy: zaznaczyć pracownika.
2. Czynności → Nalicz planowane listy płac: definicja „Rezerwa urlopowa”, okres = miesiąc rezerwy, typ wypłaty Etat.
3. Płace → Planowane listy płac: otworzyć wypłatę pracownika, element „Rezerwa urlopowa” (zakładka Zapis obliczeń).
4. Porównać z podglądem podstawy ekwiwalentu (element „Ekwiwalent za czas urlopu”) dla tego samego miesiąca.</t>
  </si>
  <si>
    <t>Podstawa 2 za 1 dzień i za 1 godzinę (Zapis obliczeń, sekcja „NALICZANIE EKWIWALENTU”) równa podstawie standardowego ekwiwalentu.</t>
  </si>
  <si>
    <t>RU-12</t>
  </si>
  <si>
    <t>Współczynnik</t>
  </si>
  <si>
    <t>Współczynnik do ekwiwalentu z konfiguracji</t>
  </si>
  <si>
    <t>Konfiguracja → Płace → Nieobecności: „Średnia wg konfiguracji” = Tak, średnia norma miesięczna na 2026 wpisana.</t>
  </si>
  <si>
    <t>W Zapisie obliczeń „Współczynnik do ekwiwalentu” = wartość z konfiguracji × wymiar etatu. Bez konfiguracji: dni robocze roku / 12.</t>
  </si>
  <si>
    <t>RU-13</t>
  </si>
  <si>
    <t>Narzuty</t>
  </si>
  <si>
    <t>Narzuty pracodawcy</t>
  </si>
  <si>
    <t>Pracownik z RU-01, standardowe stawki ZUS pracodawcy.</t>
  </si>
  <si>
    <t>Narzuty elementu = emerytalna 9,76% + rentowa 6,50% + wypadkowa (stopa firmy) + FP 2,45% + FGŚP 0,10% od kwoty rezerwy (z uwzględnieniem zwolnień FP/FGŚP i limitu 30-krotności – tak jak liczy silnik płac).</t>
  </si>
  <si>
    <t>RU-14</t>
  </si>
  <si>
    <t>Bezpieczeństwo</t>
  </si>
  <si>
    <t>Element nie trafia na zwykłą listę płac</t>
  </si>
  <si>
    <t>Pracownik z RU-01.</t>
  </si>
  <si>
    <t>1. Naliczyć zwykłą listę płac etatowych za luty.</t>
  </si>
  <si>
    <t>Brak elementów „Rezerwa urlopowa” i „Budżet rezerwy urlopowej” na wypłacie (Rodzaj naliczania = Tylko planowane, Do wypłaty = Nie).</t>
  </si>
  <si>
    <t>RU-15</t>
  </si>
  <si>
    <t>Planowanie po zamknięciu listy płac</t>
  </si>
  <si>
    <t>Lista płac za luty zatwierdzona.</t>
  </si>
  <si>
    <t>Naliczenie planu nie usuwa wypłat z listy głównej. UWAGA: niezatwierdzone wypłaty etatowe pracownika silnik planu USUWA przed naliczeniem – rezerwę liczyć po zatwierdzeniu list płac miesiąca.</t>
  </si>
  <si>
    <t>RU-16</t>
  </si>
  <si>
    <t>Budżet</t>
  </si>
  <si>
    <t>Budżet w sierpniu – symulacja limitu na 01.01.2027</t>
  </si>
  <si>
    <t>Limit 2026 = 26 dni; wykorzystane w 2026 (łącznie z już wprowadzonymi urlopami na IX–XII) = 18 dni; staż daje 26 dni na 2027. Okres planu 08/2026.</t>
  </si>
  <si>
    <t>1. Kadry i płace → Pracownicy: zaznaczyć pracownika.
2. Nalicz planowane listy płac: definicja „Budżet rezerwy urlopowej”, okres 08/2026.
3. Sprawdzić element „Budżet rezerwy urlopowej” i jego Zapis obliczeń.</t>
  </si>
  <si>
    <t>Zaległy na 01.01.2027 = 8,00 dni; limit 2027 = 26,00 dni; godziny budżetu 272 h; podstawy 1 i 2 z 06–08/2026.</t>
  </si>
  <si>
    <t>RU-17</t>
  </si>
  <si>
    <t>Symulacja nie zapisuje limitów</t>
  </si>
  <si>
    <t>Po RU-16.</t>
  </si>
  <si>
    <t>1. Kartoteka pracownika → Limity nieobecności.</t>
  </si>
  <si>
    <t>Brak limitu na rok 2027 (symulacja w niezapisywanej sesji).</t>
  </si>
  <si>
    <t>RU-18</t>
  </si>
  <si>
    <t>Zmiana wymiaru urlopu z 20 na 26 dni w 2027</t>
  </si>
  <si>
    <t>Pracownik osiąga 10 lat stażu urlopowego w 03/2027.</t>
  </si>
  <si>
    <t>Limit 2027 z symulacji = wartość, jaką da „Limity nieobecności / Nalicz” na 2027 (proporcja 20/26 wg zasad enova).</t>
  </si>
  <si>
    <t>RU-19</t>
  </si>
  <si>
    <t>Widok</t>
  </si>
  <si>
    <t>Widok rezerwy na liście Pracownicy</t>
  </si>
  <si>
    <t>Plan „Rezerwa urlopowa” za 02/2026 naliczony.</t>
  </si>
  <si>
    <t>1. Pracownicy, Aktualność = 28.02.2026.
2. Ustawienia kolumn → kategoria „Rezerwa urlopowa”: Kod, Imię, Nazwisko, Rezerwa MPK, … Rezerwa narzuty.</t>
  </si>
  <si>
    <t>Kolumny pokazują wartości z elementu planu za luty. Aktualność 31.03 (brak planu) → zera.</t>
  </si>
  <si>
    <t>RU-20</t>
  </si>
  <si>
    <t>Ponowne naliczenie planu</t>
  </si>
  <si>
    <t>Plan za 02/2026 naliczony dwa razy (np. po korekcie urlopu).</t>
  </si>
  <si>
    <t>Jak RU-19.</t>
  </si>
  <si>
    <t>Kolumny pokazują wynik ostatniego naliczenia.</t>
  </si>
  <si>
    <t>RU-21</t>
  </si>
  <si>
    <t>MPK z wydziału nadrzędnego</t>
  </si>
  <si>
    <t>Wydział pracownika bez centrum kosztów, wydział nadrzędny z centrum „X”.</t>
  </si>
  <si>
    <t>Rezerwa MPK = X.</t>
  </si>
  <si>
    <t>Wymiar etatu</t>
  </si>
  <si>
    <t>Godzin w dniu urlopu (8)</t>
  </si>
  <si>
    <t>Współczynnik do ekwiwalentu</t>
  </si>
  <si>
    <t>Zaległy (h)</t>
  </si>
  <si>
    <t>Należny roczny (h)</t>
  </si>
  <si>
    <t>Miesiąc rezerwy (1-12)</t>
  </si>
  <si>
    <t>Wykorzystany (h)</t>
  </si>
  <si>
    <t>Zasadnicze M-2</t>
  </si>
  <si>
    <t>Zasadnicze M-1</t>
  </si>
  <si>
    <t>Zasadnicze M</t>
  </si>
  <si>
    <t>Zmienne razem 3 mies.</t>
  </si>
  <si>
    <t>Liczba miesięcy zatrudnienia (1-3)</t>
  </si>
  <si>
    <t>Bieżący prop. (h)</t>
  </si>
  <si>
    <t>Godziny rezerwy</t>
  </si>
  <si>
    <t>Stawka 1 h</t>
  </si>
  <si>
    <t>Kwota rezerwy</t>
  </si>
  <si>
    <t>Zaległy (dni)</t>
  </si>
  <si>
    <t>Bieżący (dni)</t>
  </si>
  <si>
    <t>Wykorzystany (dni)</t>
  </si>
  <si>
    <t>Współczynnik 20,83 to przykład – wpisać wartość z konfiguracji enova (średnia norma miesięczna na dany rok). Zielone kolumny liczą się formułami, tak samo jak algorytm elementu (wariant podstawy 1).</t>
  </si>
</sst>
</file>

<file path=xl/styles.xml><?xml version="1.0" encoding="utf-8"?>
<styleSheet xmlns="http://schemas.openxmlformats.org/spreadsheetml/2006/main">
  <numFmts count="1">
    <numFmt numFmtId="164" formatCode="#,##0.0000"/>
  </numFmts>
  <fonts count="2">
    <font>
      <sz val="11"/>
      <name val="Calibri"/>
      <family val="2"/>
      <scheme val="minor"/>
    </font>
    <font>
      <b/>
      <sz val="1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E2EFDA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styles" Target="styles.xml" /><Relationship Id="rId4" Type="http://schemas.openxmlformats.org/officeDocument/2006/relationships/theme" Target="theme/theme1.xml" /><Relationship Id="rId5" Type="http://schemas.openxmlformats.org/officeDocument/2006/relationships/calcChain" Target="calcChain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>
      <pane activePane="bottomRight" state="frozen" topLeftCell="B2" xSplit="1" ySplit="1"/>
      <selection pane="topRight" activeCell="B1" sqref="B1"/>
      <selection pane="bottomLeft" activeCell="A2" sqref="A2"/>
    </sheetView>
  </sheetViews>
  <sheetFormatPr defaultRowHeight="15"/>
  <cols>
    <col min="1" max="1" width="7.7109375" customWidth="1"/>
    <col min="2" max="2" width="14.7109375" customWidth="1"/>
    <col min="3" max="3" width="30.710938" customWidth="1"/>
    <col min="4" max="4" width="48.710938" customWidth="1"/>
    <col min="5" max="5" width="42.710938" customWidth="1"/>
    <col min="6" max="6" width="55.710938" customWidth="1"/>
    <col min="7" max="7" width="30.710938" customWidth="1"/>
    <col min="8" max="8" width="12.7109375" customWidth="1"/>
    <col min="9" max="9" width="30.710938" customWidth="1"/>
  </cols>
  <sheetData>
    <row r="1" ht="3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20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/>
      <c r="H2" s="2"/>
      <c r="I2" s="2"/>
    </row>
    <row r="3" ht="120">
      <c r="A3" s="2" t="s">
        <v>15</v>
      </c>
      <c r="B3" s="2" t="s">
        <v>10</v>
      </c>
      <c r="C3" s="2" t="s">
        <v>16</v>
      </c>
      <c r="D3" s="2" t="s">
        <v>17</v>
      </c>
      <c r="E3" s="2" t="s">
        <v>13</v>
      </c>
      <c r="F3" s="2" t="s">
        <v>18</v>
      </c>
      <c r="G3" s="2"/>
      <c r="H3" s="2"/>
      <c r="I3" s="2"/>
    </row>
    <row r="4" ht="120">
      <c r="A4" s="2" t="s">
        <v>19</v>
      </c>
      <c r="B4" s="2" t="s">
        <v>10</v>
      </c>
      <c r="C4" s="2" t="s">
        <v>20</v>
      </c>
      <c r="D4" s="2" t="s">
        <v>21</v>
      </c>
      <c r="E4" s="2" t="s">
        <v>13</v>
      </c>
      <c r="F4" s="2" t="s">
        <v>22</v>
      </c>
      <c r="G4" s="2"/>
      <c r="H4" s="2"/>
      <c r="I4" s="2"/>
    </row>
    <row r="5" ht="120">
      <c r="A5" s="2" t="s">
        <v>23</v>
      </c>
      <c r="B5" s="2" t="s">
        <v>10</v>
      </c>
      <c r="C5" s="2" t="s">
        <v>24</v>
      </c>
      <c r="D5" s="2" t="s">
        <v>25</v>
      </c>
      <c r="E5" s="2" t="s">
        <v>13</v>
      </c>
      <c r="F5" s="2" t="s">
        <v>26</v>
      </c>
      <c r="G5" s="2"/>
      <c r="H5" s="2"/>
      <c r="I5" s="2"/>
    </row>
    <row r="6" ht="120">
      <c r="A6" s="2" t="s">
        <v>27</v>
      </c>
      <c r="B6" s="2" t="s">
        <v>10</v>
      </c>
      <c r="C6" s="2" t="s">
        <v>28</v>
      </c>
      <c r="D6" s="2" t="s">
        <v>29</v>
      </c>
      <c r="E6" s="2" t="s">
        <v>13</v>
      </c>
      <c r="F6" s="2" t="s">
        <v>30</v>
      </c>
      <c r="G6" s="2"/>
      <c r="H6" s="2"/>
      <c r="I6" s="2"/>
    </row>
    <row r="7" ht="120">
      <c r="A7" s="2" t="s">
        <v>31</v>
      </c>
      <c r="B7" s="2" t="s">
        <v>10</v>
      </c>
      <c r="C7" s="2" t="s">
        <v>32</v>
      </c>
      <c r="D7" s="2" t="s">
        <v>33</v>
      </c>
      <c r="E7" s="2" t="s">
        <v>13</v>
      </c>
      <c r="F7" s="2" t="s">
        <v>34</v>
      </c>
      <c r="G7" s="2"/>
      <c r="H7" s="2"/>
      <c r="I7" s="2"/>
    </row>
    <row r="8" ht="120">
      <c r="A8" s="2" t="s">
        <v>35</v>
      </c>
      <c r="B8" s="2" t="s">
        <v>36</v>
      </c>
      <c r="C8" s="2" t="s">
        <v>37</v>
      </c>
      <c r="D8" s="2" t="s">
        <v>38</v>
      </c>
      <c r="E8" s="2" t="s">
        <v>13</v>
      </c>
      <c r="F8" s="2" t="s">
        <v>39</v>
      </c>
      <c r="G8" s="2"/>
      <c r="H8" s="2"/>
      <c r="I8" s="2"/>
    </row>
    <row r="9" ht="120">
      <c r="A9" s="2" t="s">
        <v>40</v>
      </c>
      <c r="B9" s="2" t="s">
        <v>36</v>
      </c>
      <c r="C9" s="2" t="s">
        <v>41</v>
      </c>
      <c r="D9" s="2" t="s">
        <v>42</v>
      </c>
      <c r="E9" s="2" t="s">
        <v>13</v>
      </c>
      <c r="F9" s="2" t="s">
        <v>43</v>
      </c>
      <c r="G9" s="2"/>
      <c r="H9" s="2"/>
      <c r="I9" s="2"/>
    </row>
    <row r="10" ht="120">
      <c r="A10" s="2" t="s">
        <v>44</v>
      </c>
      <c r="B10" s="2" t="s">
        <v>36</v>
      </c>
      <c r="C10" s="2" t="s">
        <v>45</v>
      </c>
      <c r="D10" s="2" t="s">
        <v>46</v>
      </c>
      <c r="E10" s="2" t="s">
        <v>13</v>
      </c>
      <c r="F10" s="2" t="s">
        <v>47</v>
      </c>
      <c r="G10" s="2"/>
      <c r="H10" s="2"/>
      <c r="I10" s="2"/>
    </row>
    <row r="11" ht="120">
      <c r="A11" s="2" t="s">
        <v>48</v>
      </c>
      <c r="B11" s="2" t="s">
        <v>36</v>
      </c>
      <c r="C11" s="2" t="s">
        <v>49</v>
      </c>
      <c r="D11" s="2" t="s">
        <v>50</v>
      </c>
      <c r="E11" s="2" t="s">
        <v>13</v>
      </c>
      <c r="F11" s="2" t="s">
        <v>51</v>
      </c>
      <c r="G11" s="2"/>
      <c r="H11" s="2"/>
      <c r="I11" s="2"/>
    </row>
    <row r="12" ht="165">
      <c r="A12" s="2" t="s">
        <v>52</v>
      </c>
      <c r="B12" s="2" t="s">
        <v>53</v>
      </c>
      <c r="C12" s="2" t="s">
        <v>54</v>
      </c>
      <c r="D12" s="2" t="s">
        <v>55</v>
      </c>
      <c r="E12" s="2" t="s">
        <v>56</v>
      </c>
      <c r="F12" s="2" t="s">
        <v>57</v>
      </c>
      <c r="G12" s="2"/>
      <c r="H12" s="2"/>
      <c r="I12" s="2"/>
    </row>
    <row r="13" ht="120">
      <c r="A13" s="2" t="s">
        <v>58</v>
      </c>
      <c r="B13" s="2" t="s">
        <v>59</v>
      </c>
      <c r="C13" s="2" t="s">
        <v>60</v>
      </c>
      <c r="D13" s="2" t="s">
        <v>61</v>
      </c>
      <c r="E13" s="2" t="s">
        <v>13</v>
      </c>
      <c r="F13" s="2" t="s">
        <v>62</v>
      </c>
      <c r="G13" s="2"/>
      <c r="H13" s="2"/>
      <c r="I13" s="2"/>
    </row>
    <row r="14" ht="120">
      <c r="A14" s="2" t="s">
        <v>63</v>
      </c>
      <c r="B14" s="2" t="s">
        <v>64</v>
      </c>
      <c r="C14" s="2" t="s">
        <v>65</v>
      </c>
      <c r="D14" s="2" t="s">
        <v>66</v>
      </c>
      <c r="E14" s="2" t="s">
        <v>13</v>
      </c>
      <c r="F14" s="2" t="s">
        <v>67</v>
      </c>
      <c r="G14" s="2"/>
      <c r="H14" s="2"/>
      <c r="I14" s="2"/>
    </row>
    <row r="15" ht="45">
      <c r="A15" s="2" t="s">
        <v>68</v>
      </c>
      <c r="B15" s="2" t="s">
        <v>69</v>
      </c>
      <c r="C15" s="2" t="s">
        <v>70</v>
      </c>
      <c r="D15" s="2" t="s">
        <v>71</v>
      </c>
      <c r="E15" s="2" t="s">
        <v>72</v>
      </c>
      <c r="F15" s="2" t="s">
        <v>73</v>
      </c>
      <c r="G15" s="2"/>
      <c r="H15" s="2"/>
      <c r="I15" s="2"/>
    </row>
    <row r="16" ht="120">
      <c r="A16" s="2" t="s">
        <v>74</v>
      </c>
      <c r="B16" s="2" t="s">
        <v>69</v>
      </c>
      <c r="C16" s="2" t="s">
        <v>75</v>
      </c>
      <c r="D16" s="2" t="s">
        <v>76</v>
      </c>
      <c r="E16" s="2" t="s">
        <v>13</v>
      </c>
      <c r="F16" s="2" t="s">
        <v>77</v>
      </c>
      <c r="G16" s="2"/>
      <c r="H16" s="2"/>
      <c r="I16" s="2"/>
    </row>
    <row r="17" ht="90">
      <c r="A17" s="2" t="s">
        <v>78</v>
      </c>
      <c r="B17" s="2" t="s">
        <v>79</v>
      </c>
      <c r="C17" s="2" t="s">
        <v>80</v>
      </c>
      <c r="D17" s="2" t="s">
        <v>81</v>
      </c>
      <c r="E17" s="2" t="s">
        <v>82</v>
      </c>
      <c r="F17" s="2" t="s">
        <v>83</v>
      </c>
      <c r="G17" s="2"/>
      <c r="H17" s="2"/>
      <c r="I17" s="2"/>
    </row>
    <row r="18" ht="30">
      <c r="A18" s="2" t="s">
        <v>84</v>
      </c>
      <c r="B18" s="2" t="s">
        <v>79</v>
      </c>
      <c r="C18" s="2" t="s">
        <v>85</v>
      </c>
      <c r="D18" s="2" t="s">
        <v>86</v>
      </c>
      <c r="E18" s="2" t="s">
        <v>87</v>
      </c>
      <c r="F18" s="2" t="s">
        <v>88</v>
      </c>
      <c r="G18" s="2"/>
      <c r="H18" s="2"/>
      <c r="I18" s="2"/>
    </row>
    <row r="19" ht="90">
      <c r="A19" s="2" t="s">
        <v>89</v>
      </c>
      <c r="B19" s="2" t="s">
        <v>79</v>
      </c>
      <c r="C19" s="2" t="s">
        <v>90</v>
      </c>
      <c r="D19" s="2" t="s">
        <v>91</v>
      </c>
      <c r="E19" s="2" t="s">
        <v>82</v>
      </c>
      <c r="F19" s="2" t="s">
        <v>92</v>
      </c>
      <c r="G19" s="2"/>
      <c r="H19" s="2"/>
      <c r="I19" s="2"/>
    </row>
    <row r="20" ht="60">
      <c r="A20" s="2" t="s">
        <v>93</v>
      </c>
      <c r="B20" s="2" t="s">
        <v>94</v>
      </c>
      <c r="C20" s="2" t="s">
        <v>95</v>
      </c>
      <c r="D20" s="2" t="s">
        <v>96</v>
      </c>
      <c r="E20" s="2" t="s">
        <v>97</v>
      </c>
      <c r="F20" s="2" t="s">
        <v>98</v>
      </c>
      <c r="G20" s="2"/>
      <c r="H20" s="2"/>
      <c r="I20" s="2"/>
    </row>
    <row r="21" ht="30">
      <c r="A21" s="2" t="s">
        <v>99</v>
      </c>
      <c r="B21" s="2" t="s">
        <v>94</v>
      </c>
      <c r="C21" s="2" t="s">
        <v>100</v>
      </c>
      <c r="D21" s="2" t="s">
        <v>101</v>
      </c>
      <c r="E21" s="2" t="s">
        <v>102</v>
      </c>
      <c r="F21" s="2" t="s">
        <v>103</v>
      </c>
      <c r="G21" s="2"/>
      <c r="H21" s="2"/>
      <c r="I21" s="2"/>
    </row>
    <row r="22" ht="30">
      <c r="A22" s="2" t="s">
        <v>104</v>
      </c>
      <c r="B22" s="2" t="s">
        <v>94</v>
      </c>
      <c r="C22" s="2" t="s">
        <v>105</v>
      </c>
      <c r="D22" s="2" t="s">
        <v>106</v>
      </c>
      <c r="E22" s="2" t="s">
        <v>102</v>
      </c>
      <c r="F22" s="2" t="s">
        <v>107</v>
      </c>
      <c r="G22" s="2"/>
      <c r="H22" s="2"/>
      <c r="I22" s="2"/>
    </row>
  </sheetData>
  <autoFilter ref="A1:I22"/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Right" state="frozen" topLeftCell="B2" xSplit="1" ySplit="1"/>
      <selection pane="topRight" activeCell="B1" sqref="B1"/>
      <selection pane="bottomLeft" activeCell="A2" sqref="A2"/>
    </sheetView>
  </sheetViews>
  <sheetFormatPr defaultRowHeight="15"/>
  <cols>
    <col min="1" max="1" width="13.7109375" customWidth="1"/>
    <col min="2" max="2" width="13.7109375" customWidth="1"/>
    <col min="3" max="3" width="13.7109375" customWidth="1"/>
    <col min="4" max="4" width="13.7109375" customWidth="1"/>
    <col min="5" max="5" width="13.7109375" customWidth="1"/>
    <col min="6" max="6" width="13.7109375" customWidth="1"/>
    <col min="7" max="7" width="13.7109375" customWidth="1"/>
    <col min="8" max="8" width="13.7109375" customWidth="1"/>
    <col min="9" max="9" width="13.7109375" customWidth="1"/>
    <col min="10" max="10" width="13.7109375" customWidth="1"/>
    <col min="11" max="11" width="13.7109375" customWidth="1"/>
    <col min="12" max="12" width="13.7109375" customWidth="1"/>
    <col min="13" max="13" width="13.7109375" customWidth="1"/>
    <col min="14" max="14" width="13.7109375" customWidth="1"/>
    <col min="15" max="15" width="13.7109375" customWidth="1"/>
    <col min="16" max="16" width="13.7109375" customWidth="1"/>
    <col min="17" max="17" width="13.7109375" customWidth="1"/>
    <col min="18" max="18" width="13.7109375" customWidth="1"/>
    <col min="19" max="19" width="13.7109375" customWidth="1"/>
    <col min="20" max="20" width="13.7109375" customWidth="1"/>
    <col min="21" max="21" width="13.7109375" customWidth="1"/>
  </cols>
  <sheetData>
    <row r="1" ht="60">
      <c r="A1" s="3" t="s">
        <v>0</v>
      </c>
      <c r="B1" s="3" t="s">
        <v>108</v>
      </c>
      <c r="C1" s="3" t="s">
        <v>109</v>
      </c>
      <c r="D1" s="3" t="s">
        <v>110</v>
      </c>
      <c r="E1" s="3" t="s">
        <v>111</v>
      </c>
      <c r="F1" s="3" t="s">
        <v>112</v>
      </c>
      <c r="G1" s="3" t="s">
        <v>113</v>
      </c>
      <c r="H1" s="3" t="s">
        <v>114</v>
      </c>
      <c r="I1" s="3" t="s">
        <v>115</v>
      </c>
      <c r="J1" s="3" t="s">
        <v>116</v>
      </c>
      <c r="K1" s="3" t="s">
        <v>117</v>
      </c>
      <c r="L1" s="3" t="s">
        <v>118</v>
      </c>
      <c r="M1" s="3" t="s">
        <v>119</v>
      </c>
      <c r="N1" s="4" t="s">
        <v>120</v>
      </c>
      <c r="O1" s="4" t="s">
        <v>121</v>
      </c>
      <c r="P1" s="4" t="s">
        <v>36</v>
      </c>
      <c r="Q1" s="4" t="s">
        <v>122</v>
      </c>
      <c r="R1" s="4" t="s">
        <v>123</v>
      </c>
      <c r="S1" s="4" t="s">
        <v>124</v>
      </c>
      <c r="T1" s="4" t="s">
        <v>125</v>
      </c>
      <c r="U1" s="4" t="s">
        <v>126</v>
      </c>
    </row>
    <row r="2">
      <c r="A2" t="s">
        <v>9</v>
      </c>
      <c r="B2">
        <v>1</v>
      </c>
      <c r="C2">
        <v>8</v>
      </c>
      <c r="D2">
        <v>20.829999999999998</v>
      </c>
      <c r="E2">
        <v>0</v>
      </c>
      <c r="F2">
        <v>208</v>
      </c>
      <c r="G2">
        <v>2</v>
      </c>
      <c r="H2">
        <v>24</v>
      </c>
      <c r="I2">
        <v>6000</v>
      </c>
      <c r="J2">
        <v>6000</v>
      </c>
      <c r="K2">
        <v>6000</v>
      </c>
      <c r="L2">
        <v>0</v>
      </c>
      <c r="M2">
        <v>3</v>
      </c>
      <c r="N2" s="5">
        <f>F2*G2/12</f>
        <v>34.666666666666664</v>
      </c>
      <c r="O2" s="5">
        <f>MAX(0,E2+N2-H2)</f>
        <v>10.666666666666664</v>
      </c>
      <c r="P2" s="5">
        <f>ROUND((I2+J2+K2+L2)/M2,2)</f>
        <v>6000</v>
      </c>
      <c r="Q2" s="6">
        <f>P2/(D2*B2)/C2</f>
        <v>36.005760921747481</v>
      </c>
      <c r="R2" s="5">
        <f>ROUND(O2*Q2,2)</f>
        <v>384.06</v>
      </c>
      <c r="S2" s="5">
        <f>ROUND(E2/(C2*B2),2)</f>
        <v>0</v>
      </c>
      <c r="T2" s="5">
        <f>ROUND(N2/(C2*B2),2)</f>
        <v>4.3300000000000001</v>
      </c>
      <c r="U2" s="5">
        <f>ROUND(H2/(C2*B2),2)</f>
        <v>3</v>
      </c>
    </row>
    <row r="3">
      <c r="A3" t="s">
        <v>15</v>
      </c>
      <c r="B3">
        <v>1</v>
      </c>
      <c r="C3">
        <v>8</v>
      </c>
      <c r="D3">
        <v>20.829999999999998</v>
      </c>
      <c r="E3">
        <v>40</v>
      </c>
      <c r="F3">
        <v>208</v>
      </c>
      <c r="G3">
        <v>5</v>
      </c>
      <c r="H3">
        <v>80</v>
      </c>
      <c r="I3">
        <v>6000</v>
      </c>
      <c r="J3">
        <v>6000</v>
      </c>
      <c r="K3">
        <v>6000</v>
      </c>
      <c r="L3">
        <v>0</v>
      </c>
      <c r="M3">
        <v>3</v>
      </c>
      <c r="N3" s="5">
        <f>F3*G3/12</f>
        <v>86.666666666666671</v>
      </c>
      <c r="O3" s="5">
        <f>MAX(0,E3+N3-H3)</f>
        <v>46.666666666666671</v>
      </c>
      <c r="P3" s="5">
        <f>ROUND((I3+J3+K3+L3)/M3,2)</f>
        <v>6000</v>
      </c>
      <c r="Q3" s="6">
        <f>P3/(D3*B3)/C3</f>
        <v>36.005760921747481</v>
      </c>
      <c r="R3" s="5">
        <f>ROUND(O3*Q3,2)</f>
        <v>1680.27</v>
      </c>
      <c r="S3" s="5">
        <f>ROUND(E3/(C3*B3),2)</f>
        <v>5</v>
      </c>
      <c r="T3" s="5">
        <f>ROUND(N3/(C3*B3),2)</f>
        <v>10.83</v>
      </c>
      <c r="U3" s="5">
        <f>ROUND(H3/(C3*B3),2)</f>
        <v>10</v>
      </c>
    </row>
    <row r="4">
      <c r="A4" t="s">
        <v>19</v>
      </c>
      <c r="B4">
        <v>0.5</v>
      </c>
      <c r="C4">
        <v>8</v>
      </c>
      <c r="D4">
        <v>20.829999999999998</v>
      </c>
      <c r="E4">
        <v>0</v>
      </c>
      <c r="F4">
        <v>104</v>
      </c>
      <c r="G4">
        <v>6</v>
      </c>
      <c r="H4">
        <v>16</v>
      </c>
      <c r="I4">
        <v>3000</v>
      </c>
      <c r="J4">
        <v>3000</v>
      </c>
      <c r="K4">
        <v>3000</v>
      </c>
      <c r="L4">
        <v>0</v>
      </c>
      <c r="M4">
        <v>3</v>
      </c>
      <c r="N4" s="5">
        <f>F4*G4/12</f>
        <v>52</v>
      </c>
      <c r="O4" s="5">
        <f>MAX(0,E4+N4-H4)</f>
        <v>36</v>
      </c>
      <c r="P4" s="5">
        <f>ROUND((I4+J4+K4+L4)/M4,2)</f>
        <v>3000</v>
      </c>
      <c r="Q4" s="6">
        <f>P4/(D4*B4)/C4</f>
        <v>36.005760921747481</v>
      </c>
      <c r="R4" s="5">
        <f>ROUND(O4*Q4,2)</f>
        <v>1296.21</v>
      </c>
      <c r="S4" s="5">
        <f>ROUND(E4/(C4*B4),2)</f>
        <v>0</v>
      </c>
      <c r="T4" s="5">
        <f>ROUND(N4/(C4*B4),2)</f>
        <v>13</v>
      </c>
      <c r="U4" s="5">
        <f>ROUND(H4/(C4*B4),2)</f>
        <v>4</v>
      </c>
    </row>
    <row r="5">
      <c r="A5" t="s">
        <v>35</v>
      </c>
      <c r="B5">
        <v>1</v>
      </c>
      <c r="C5">
        <v>8</v>
      </c>
      <c r="D5">
        <v>20.829999999999998</v>
      </c>
      <c r="E5">
        <v>0</v>
      </c>
      <c r="F5">
        <v>208</v>
      </c>
      <c r="G5">
        <v>2</v>
      </c>
      <c r="H5">
        <v>24</v>
      </c>
      <c r="I5">
        <v>6000</v>
      </c>
      <c r="J5">
        <v>6000</v>
      </c>
      <c r="K5">
        <v>6000</v>
      </c>
      <c r="L5">
        <v>1800</v>
      </c>
      <c r="M5">
        <v>3</v>
      </c>
      <c r="N5" s="5">
        <f>F5*G5/12</f>
        <v>34.666666666666664</v>
      </c>
      <c r="O5" s="5">
        <f>MAX(0,E5+N5-H5)</f>
        <v>10.666666666666664</v>
      </c>
      <c r="P5" s="5">
        <f>ROUND((I5+J5+K5+L5)/M5,2)</f>
        <v>6600</v>
      </c>
      <c r="Q5" s="6">
        <f>P5/(D5*B5)/C5</f>
        <v>39.606337013922229</v>
      </c>
      <c r="R5" s="5">
        <f>ROUND(O5*Q5,2)</f>
        <v>422.47000000000003</v>
      </c>
      <c r="S5" s="5">
        <f>ROUND(E5/(C5*B5),2)</f>
        <v>0</v>
      </c>
      <c r="T5" s="5">
        <f>ROUND(N5/(C5*B5),2)</f>
        <v>4.3300000000000001</v>
      </c>
      <c r="U5" s="5">
        <f>ROUND(H5/(C5*B5),2)</f>
        <v>3</v>
      </c>
    </row>
    <row r="6">
      <c r="A6" t="s">
        <v>40</v>
      </c>
      <c r="B6">
        <v>1</v>
      </c>
      <c r="C6">
        <v>8</v>
      </c>
      <c r="D6">
        <v>20.829999999999998</v>
      </c>
      <c r="E6">
        <v>0</v>
      </c>
      <c r="F6">
        <v>208</v>
      </c>
      <c r="G6">
        <v>2</v>
      </c>
      <c r="H6">
        <v>24</v>
      </c>
      <c r="I6">
        <v>6000</v>
      </c>
      <c r="J6">
        <v>6000</v>
      </c>
      <c r="K6">
        <v>7000</v>
      </c>
      <c r="L6">
        <v>0</v>
      </c>
      <c r="M6">
        <v>3</v>
      </c>
      <c r="N6" s="5">
        <f>F6*G6/12</f>
        <v>34.666666666666664</v>
      </c>
      <c r="O6" s="5">
        <f>MAX(0,E6+N6-H6)</f>
        <v>10.666666666666664</v>
      </c>
      <c r="P6" s="5">
        <f>ROUND((I6+J6+K6+L6)/M6,2)</f>
        <v>6333.3299999999999</v>
      </c>
      <c r="Q6" s="6">
        <f>P6/(D6*B6)/C6</f>
        <v>38.006060969755161</v>
      </c>
      <c r="R6" s="5">
        <f>ROUND(O6*Q6,2)</f>
        <v>405.39999999999998</v>
      </c>
      <c r="S6" s="5">
        <f>ROUND(E6/(C6*B6),2)</f>
        <v>0</v>
      </c>
      <c r="T6" s="5">
        <f>ROUND(N6/(C6*B6),2)</f>
        <v>4.3300000000000001</v>
      </c>
      <c r="U6" s="5">
        <f>ROUND(H6/(C6*B6),2)</f>
        <v>3</v>
      </c>
    </row>
    <row r="7">
      <c r="A7" t="s">
        <v>44</v>
      </c>
      <c r="B7">
        <v>1</v>
      </c>
      <c r="C7">
        <v>8</v>
      </c>
      <c r="D7">
        <v>20.829999999999998</v>
      </c>
      <c r="E7">
        <v>0</v>
      </c>
      <c r="F7">
        <v>208</v>
      </c>
      <c r="G7">
        <v>2</v>
      </c>
      <c r="H7">
        <v>0</v>
      </c>
      <c r="I7">
        <v>0</v>
      </c>
      <c r="J7">
        <v>6000</v>
      </c>
      <c r="K7">
        <v>6000</v>
      </c>
      <c r="L7">
        <v>0</v>
      </c>
      <c r="M7">
        <v>2</v>
      </c>
      <c r="N7" s="5">
        <f>F7*G7/12</f>
        <v>34.666666666666664</v>
      </c>
      <c r="O7" s="5">
        <f>MAX(0,E7+N7-H7)</f>
        <v>34.666666666666664</v>
      </c>
      <c r="P7" s="5">
        <f>ROUND((I7+J7+K7+L7)/M7,2)</f>
        <v>6000</v>
      </c>
      <c r="Q7" s="6">
        <f>P7/(D7*B7)/C7</f>
        <v>36.005760921747481</v>
      </c>
      <c r="R7" s="5">
        <f>ROUND(O7*Q7,2)</f>
        <v>1248.2</v>
      </c>
      <c r="S7" s="5">
        <f>ROUND(E7/(C7*B7),2)</f>
        <v>0</v>
      </c>
      <c r="T7" s="5">
        <f>ROUND(N7/(C7*B7),2)</f>
        <v>4.3300000000000001</v>
      </c>
      <c r="U7" s="5">
        <f>ROUND(H7/(C7*B7),2)</f>
        <v>0</v>
      </c>
    </row>
    <row r="9">
      <c r="A9" t="s">
        <v>127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ET-097-VM2\admin.vpn</dc:creator>
  <cp:lastModifiedBy>ET-097-VM2\admin.vpn</cp:lastModifiedBy>
  <dcterms:created xsi:type="dcterms:W3CDTF">2026-10-09T12:54:02Z</dcterms:created>
  <dcterms:modified xsi:type="dcterms:W3CDTF">2026-10-09T12:54:03Z</dcterms:modified>
</cp:coreProperties>
</file>