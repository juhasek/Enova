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Rezerwy urlopowe\Rezerwa Al\"/>
    </mc:Choice>
  </mc:AlternateContent>
  <bookViews>
    <workbookView xWindow="0" yWindow="0" windowWidth="0" windowHeight="0"/>
  </bookViews>
  <sheets>
    <sheet name="Scenariusze" sheetId="1" r:id="rId1"/>
    <sheet name="Kalkulator" sheetId="2" r:id="rId2"/>
  </sheets>
  <definedNames>
    <definedName name="_xlnm._FilterDatabase" localSheetId="0" hidden="1">Scenariusze!$A$1:$I$31</definedName>
  </definedNames>
  <calcPr/>
</workbook>
</file>

<file path=xl/calcChain.xml><?xml version="1.0" encoding="utf-8"?>
<calcChain xmlns="http://schemas.openxmlformats.org/spreadsheetml/2006/main">
  <c i="2" l="1" r="T9"/>
  <c r="R9"/>
  <c r="O9"/>
  <c r="P9"/>
  <c r="M9"/>
  <c r="S9"/>
  <c r="T8"/>
  <c r="R8"/>
  <c r="O8"/>
  <c r="P8"/>
  <c r="M8"/>
  <c r="N8"/>
  <c r="Q8"/>
  <c r="T7"/>
  <c r="R7"/>
  <c r="O7"/>
  <c r="P7"/>
  <c r="M7"/>
  <c r="S7"/>
  <c r="T6"/>
  <c r="R6"/>
  <c r="O6"/>
  <c r="P6"/>
  <c r="M6"/>
  <c r="S6"/>
  <c r="T5"/>
  <c r="R5"/>
  <c r="O5"/>
  <c r="P5"/>
  <c r="M5"/>
  <c r="S5"/>
  <c r="T4"/>
  <c r="R4"/>
  <c r="O4"/>
  <c r="P4"/>
  <c r="M4"/>
  <c r="S4"/>
  <c r="T3"/>
  <c r="R3"/>
  <c r="O3"/>
  <c r="P3"/>
  <c r="M3"/>
  <c r="S3"/>
  <c r="T2"/>
  <c r="R2"/>
  <c r="O2"/>
  <c r="P2"/>
  <c r="M2"/>
  <c r="S2"/>
  <c l="1" r="N2"/>
  <c r="Q2"/>
  <c r="N3"/>
  <c r="Q3"/>
  <c r="N4"/>
  <c r="Q4"/>
  <c r="N5"/>
  <c r="Q5"/>
  <c r="N6"/>
  <c r="Q6"/>
  <c r="S8"/>
  <c r="N9"/>
  <c r="Q9"/>
  <c r="N7"/>
  <c r="Q7"/>
</calcChain>
</file>

<file path=xl/sharedStrings.xml><?xml version="1.0" encoding="utf-8"?>
<sst xmlns="http://schemas.openxmlformats.org/spreadsheetml/2006/main">
  <si>
    <t>ID</t>
  </si>
  <si>
    <t>Obszar</t>
  </si>
  <si>
    <t>Scenariusz</t>
  </si>
  <si>
    <t>Dane wejściowe</t>
  </si>
  <si>
    <t>Kroki</t>
  </si>
  <si>
    <t>Oczekiwany wynik</t>
  </si>
  <si>
    <t>Wynik testu</t>
  </si>
  <si>
    <t>Status (OK/BŁĄD)</t>
  </si>
  <si>
    <t>Uwagi</t>
  </si>
  <si>
    <t>RU-01</t>
  </si>
  <si>
    <t>Urlop</t>
  </si>
  <si>
    <t>Kolejny urlop – bieżący proporcjonalny zaokrąglany w górę</t>
  </si>
  <si>
    <t>Etat 1/1, limit 2026 = 26 dni (208 h), znacznik limitu „Pierwszy urlop” = Nie, zaległy 0. Urlop 3 dni (24 h) w styczniu. Pensja 6 000 zł, listy XII–II zatwierdzone. Rezerwa za luty.</t>
  </si>
  <si>
    <t>1. Zatwierdzić listy płac etatowych za miesiąc rezerwy i 2 poprzednie.
2. Kadry i płace → Pracownicy: zaznaczyć pracownika → Czynności → Nalicz planowane listy płac: definicja „Rezerwa urlopowa”, okres = miesiąc rezerwy, typ wypłaty Etat.
3. Płace → Planowane listy płac: wypłata pracownika → element „Rezerwa urlopowa” → Zapis obliczeń.</t>
  </si>
  <si>
    <t>[1] Kolejny urlop: 34,67 h = 4,33 dni → zaokrąglone w górę 5 dni = 40,00 h; wykorzystany 3,00 dni; do rezerwy 16,00 h (2,00 dni). Kwota – arkusz Kalkulator, wiersz RU-01.</t>
  </si>
  <si>
    <t>RU-02</t>
  </si>
  <si>
    <t>Zaległy z poprzedniego roku</t>
  </si>
  <si>
    <t>Jak RU-01, zaległy z 2025 = 5 dni (40 h); urlop 10 dni (80 h) do 31.05; rezerwa za maj.</t>
  </si>
  <si>
    <t>Zaległy 5,00 dni; bieżący 208 × 5/12 = 10,83 dni → 11 dni (88 h); wykorzystany 10,00 dni; do rezerwy 48,00 h (6,00 dni).</t>
  </si>
  <si>
    <t>RU-03</t>
  </si>
  <si>
    <t>1/2 etatu</t>
  </si>
  <si>
    <t>Etat 1/2, limit 26 dni = 104 h, kolejny urlop, wykorzystane 16 h do 30.06, pensja 3 000 zł; rezerwa za czerwiec.</t>
  </si>
  <si>
    <t>Dzień urlopu = 4 h (8 h × 1/2). Bieżący 104 × 6/12 = 52 h = 13,00 dni (bez zmiany po zaokrągleniu); wykorzystany 4,00 dni; rezerwa 36 h. Stawka 1 h = 3 000 / (współczynnik × 0,5) / 8.</t>
  </si>
  <si>
    <t>RU-04</t>
  </si>
  <si>
    <t>Pierwszy urlop – bez zaokrąglenia</t>
  </si>
  <si>
    <t>Pracownik w pierwszej pracy, limity z znacznikiem „Pierwszy urlop” = Tak (narastająco 1/12).</t>
  </si>
  <si>
    <t>W [1] limity opisane „(pierwszy urlop)”, brak linii „Kolejny urlop: … zaokrąglone w górę”; bieżący = suma proporcjonalna bez zaokrąglenia.</t>
  </si>
  <si>
    <t>RU-05</t>
  </si>
  <si>
    <t>Urlop pobrany ponad stan</t>
  </si>
  <si>
    <t>Zaległy 0, limit 208 h, do końca lutego wykorzystane 10 dni (80 h).</t>
  </si>
  <si>
    <t>Stan ujemny → „Ujemny stan urlopu - rezerwa = 0.”, element nie powstaje (Generuj zerowy = Nie).</t>
  </si>
  <si>
    <t>RU-06</t>
  </si>
  <si>
    <t>Pracownik zwolniony w miesiącu rezerwy</t>
  </si>
  <si>
    <t>Umowa rozwiązana 15.02.2026.</t>
  </si>
  <si>
    <t>„Pracownik niezatrudniony na 28.02.2026 - pominięty.” – brak elementu.</t>
  </si>
  <si>
    <t>RU-07</t>
  </si>
  <si>
    <t>Urlop dodatkowy (niepełnosprawność)</t>
  </si>
  <si>
    <t>Limit urlopu dodatkowego 10 dni oprócz wypoczynkowego.</t>
  </si>
  <si>
    <t>W [1] osobne linie „Limit …” dla obu limitów; zaokrąglenie w górę osobno dla każdego rodzaju limitu; suma w „Do rezerwy”.</t>
  </si>
  <si>
    <t>RU-08</t>
  </si>
  <si>
    <t>Podstawa 1</t>
  </si>
  <si>
    <t>Składniki zmienne – średnia z 3 miesięcy</t>
  </si>
  <si>
    <t>Pensja 6 000; listy XII/2025, I i II/2026 zatwierdzone. Premia (wliczana do ekwiwalentu) 1 200 za XII i 600 za II. Rezerwa za luty.</t>
  </si>
  <si>
    <t>[3] 3 miesiące z wypłatą; podstawa 1 = (7 200 + 6 000 + 6 600) / 3 = 6 600,00. Składniki wg okresu „za”, nie daty wypłaty.</t>
  </si>
  <si>
    <t>RU-09</t>
  </si>
  <si>
    <t>Podwyżka w trakcie 3 miesięcy</t>
  </si>
  <si>
    <t>Pensja 6 000 do 31.01.2026, od 01.02.2026 7 000; listy XII–II zatwierdzone.</t>
  </si>
  <si>
    <t>Podstawa 1 = (6 000 + 6 000 + 7 000) / 3 = 6 333,33 (zasadnicze nominalne z kartoteki).</t>
  </si>
  <si>
    <t>RU-10</t>
  </si>
  <si>
    <t>Miesiąc bez wypłaty pomijany</t>
  </si>
  <si>
    <t>Pensja 6 300; brak listy płac za IX/2026; listy VIII i X zatwierdzone, premia 100 w X. Rezerwa za październik.</t>
  </si>
  <si>
    <t>[3] „2026/09 brak wypłaty - pominięty”; podstawa 1 = (6 300 + 6 400) / 2 = 6 350,00.</t>
  </si>
  <si>
    <t>RU-11</t>
  </si>
  <si>
    <t>Zatrudniony w trakcie okresu</t>
  </si>
  <si>
    <t>Zatrudnienie od 01.01.2026, pensja 6 000; listy I i II zatwierdzone. Rezerwa za luty.</t>
  </si>
  <si>
    <t>[3] „2025/12 brak zatrudnienia - pominięty”; średnia z 2 miesięcy = 6 000,00.</t>
  </si>
  <si>
    <t>RU-12</t>
  </si>
  <si>
    <t>Niepełny miesiąc zatrudnienia – wartości nominalne</t>
  </si>
  <si>
    <t>Zatrudnienie od 15.09.2026, pensja 6 000, premia z kartoteki 300 (naliczona proporcjonalnie), nadgodziny 200 za IX (wliczane do ekwiwalentu); X: 6 000 + 300. Rezerwa za październik.</t>
  </si>
  <si>
    <t>[3] 2026/09 z dopiskiem „niepełne zatrudnienie … przelicznik normy (norma IX / norma 15–30.IX)”: zasadnicze 6 000, premia 300 (z kartoteki), nadgodziny 200 × przelicznik. Średnia z IX i X.</t>
  </si>
  <si>
    <t>RU-13</t>
  </si>
  <si>
    <t>Chorobowe nie obniża podstawy</t>
  </si>
  <si>
    <t>Pensja 6 000; w styczniu 10 dni chorobowego (zasadnicze naliczone pomniejszone).</t>
  </si>
  <si>
    <t>Podstawa 1 = 6 000,00 (zasadnicze nominalne). Przy ZASADNICZE_NOMINALNE = false podstawa byłaby niższa.</t>
  </si>
  <si>
    <t>RU-14</t>
  </si>
  <si>
    <t>Podstawa 1/2</t>
  </si>
  <si>
    <t>Niezatwierdzona lista płac w miesiącu rezerwy</t>
  </si>
  <si>
    <t>Lista płac za X/2026 naliczona, NIEzatwierdzona; przy naliczaniu planu parametr „Uwzględniaj niezatwierdzone listy płac” = Nie.</t>
  </si>
  <si>
    <t>Na górze „UWAGA: brak wypłaty za 2026/10 …”; [3] „2026/10 brak wypłaty - pominięty”; [4] „standard naliczył elementy miesiąca na nowo”. Powtórzyć z parametrem = Tak → brak UWAGA, obie podstawy z listy X.</t>
  </si>
  <si>
    <t>RU-15</t>
  </si>
  <si>
    <t>Podstawa 2</t>
  </si>
  <si>
    <t>Zgodność ze standardowym ekwiwalentem</t>
  </si>
  <si>
    <t>Pracownik z RU-08; Zapis obliczeń w definicji = „Rezerwa urlopowa,Urlop”.</t>
  </si>
  <si>
    <t>[4] podstawa za dzień i za godzinę równa logowi „NALICZANIE EKWIWALENTU…” (PODSTAWA ZA 1 DZIEŃ / ZA 1 GODZINĘ) widocznemu pod sekcją.</t>
  </si>
  <si>
    <t>RU-16</t>
  </si>
  <si>
    <t>Wynik</t>
  </si>
  <si>
    <t>Wariant podstawy</t>
  </si>
  <si>
    <t>Pracownik z RU-10. W kodzie algorytmu WARIANT_PODSTAWY = 1, potem 2, potem 3.</t>
  </si>
  <si>
    <t>[5] „wariant 1 (podstawa 1)”, „wariant 2 (podstawa 2)”, „wariant 3 (wyższa z podstaw)” – kwota = godziny × odpowiednia stawka 1 h.</t>
  </si>
  <si>
    <t>RU-17</t>
  </si>
  <si>
    <t>Współczynnik</t>
  </si>
  <si>
    <t>Współczynnik z konfiguracji</t>
  </si>
  <si>
    <t>Konfiguracja → Płace → Nieobecności → Średnia norma miesięczna na 2026 = 20,92.</t>
  </si>
  <si>
    <t>[2] „WSPÓŁCZYNNIK: 20,92 x wymiar 1/1 = 20,92; 8,00 h w dniu urlopu” – zawsze z konfiguracji (niezależnie od „Średnia wg konfiguracji”).</t>
  </si>
  <si>
    <t>RU-18</t>
  </si>
  <si>
    <t>Brak współczynnika w konfiguracji</t>
  </si>
  <si>
    <t>Średnia norma miesięczna na rok rezerwy = 0 (brak wpisu).</t>
  </si>
  <si>
    <t>[2] „UWAGA: brak współczynnika do ekwiwalentu w konfiguracji … - rezerwa = 0.” – element nie powstaje, sekcje [3]–[5] nie występują.</t>
  </si>
  <si>
    <t>RU-19</t>
  </si>
  <si>
    <t>Narzuty</t>
  </si>
  <si>
    <t>Narzuty pracodawcy</t>
  </si>
  <si>
    <t>Pracownik z RU-01, standardowe stawki ZUS pracodawcy.</t>
  </si>
  <si>
    <t>Narzuty elementu = emerytalna 9,76% + rentowa 6,50% + wypadkowa (stopa firmy) + FP 2,45% + FGŚP 0,10% od kwoty rezerwy (zwolnienia FP/FGŚP i limit 30-krotności wg silnika płac). PPK pracodawcy nie wchodzi.</t>
  </si>
  <si>
    <t>RU-20</t>
  </si>
  <si>
    <t>Bezpieczeństwo</t>
  </si>
  <si>
    <t>Element nie trafia na zwykłą listę płac</t>
  </si>
  <si>
    <t>Pracownik z RU-01.</t>
  </si>
  <si>
    <t>1. Naliczyć zwykłą listę płac etatowych za luty.</t>
  </si>
  <si>
    <t>Brak elementów „Rezerwa urlopowa” i „Budżet rezerwy urlopowej” (Rodzaj naliczania = Tylko planowane, Do wypłaty = Nie).</t>
  </si>
  <si>
    <t>RU-21</t>
  </si>
  <si>
    <t>Plan</t>
  </si>
  <si>
    <t>Numeracja planowanych list – kilka wydziałów</t>
  </si>
  <si>
    <t>Pracownicy z dwóch różnych wydziałów, rezerwa za 10/2026.</t>
  </si>
  <si>
    <t>1. Zatwierdzić listy płac etatowych za miesiąc rezerwy i 2 poprzednie.
2. Kadry i płace → Pracownicy: zaznaczyć pracowników obu wydziałów → Czynności → Nalicz planowane listy płac: definicja „Rezerwa urlopowa”, okres = miesiąc rezerwy, typ wypłaty Etat.
3. Płace → Planowane listy płac: wypłata pracownika → element „Rezerwa urlopowa” → Zapis obliczeń.
4. Zapisać.</t>
  </si>
  <si>
    <t>Dwie planowane listy REZURL/2026/10/1 i REZURL/2026/10/2; zapis bez błędu „Istnieje już inny zapis w kluczu Numer.WgNumeruDokumentu”.</t>
  </si>
  <si>
    <t>RU-22</t>
  </si>
  <si>
    <t>Budżet</t>
  </si>
  <si>
    <t>Budżet w sierpniu – symulacja limitu na 01.01.2027</t>
  </si>
  <si>
    <t>Limit 2026 = 26 dni; wykorzystane w 2026 (łącznie z wprowadzonymi urlopami na IX–XII) = 18 dni; staż daje 26 dni na 2027.</t>
  </si>
  <si>
    <t>1. Kadry i płace → Pracownicy: zaznaczyć pracownika → Nalicz planowane listy płac: definicja „Budżet rezerwy urlopowej”, okres 08/2026.
2. Element „Budżet rezerwy urlopowej” → Zapis obliczeń.</t>
  </si>
  <si>
    <t>[1] „Zaległy na 01.01.2027” 8,00 dni, „Limit na rok 2027” 26,00 dni, do rezerwy 272 h (34 dni); podstawy z VI–VIII/2026.</t>
  </si>
  <si>
    <t>RU-23</t>
  </si>
  <si>
    <t>Symulacja nie zapisuje limitów</t>
  </si>
  <si>
    <t>Po RU-22.</t>
  </si>
  <si>
    <t>1. Kartoteka pracownika → Limity nieobecności.</t>
  </si>
  <si>
    <t>Brak limitu na rok 2027 (symulacja w niezapisywanej sesji).</t>
  </si>
  <si>
    <t>RU-24</t>
  </si>
  <si>
    <t>Zmiana wymiaru urlopu z 20 na 26 dni w 2027</t>
  </si>
  <si>
    <t>Pracownik osiąga 10 lat stażu urlopowego w 03/2027.</t>
  </si>
  <si>
    <t>Limit 2027 z symulacji = wartość, jaką da „Limity nieobecności / Nalicz” na 2027.</t>
  </si>
  <si>
    <t>RU-25</t>
  </si>
  <si>
    <t>Zapis obliczeń</t>
  </si>
  <si>
    <t>Uporządkowany log</t>
  </si>
  <si>
    <t>Zapis obliczeń w definicji = „Rezerwa urlopowa”.</t>
  </si>
  <si>
    <t>Nagłówek „=== REZERWA URLOPOWA RRRR/MM - pracownik ===”, sekcje [1] stan urlopu (tabelka godz./dni), [2] współczynnik, [3] podstawa 1, [4] podstawa 2, [5] wynik. Brak obcych logów (np. wyrównania do najniższego).</t>
  </si>
  <si>
    <t>RU-26</t>
  </si>
  <si>
    <t>Log z pełnym standardem</t>
  </si>
  <si>
    <t>Zapis obliczeń w definicji = „Rezerwa urlopowa,Urlop”.</t>
  </si>
  <si>
    <t>Jak RU-25 + pełny log „NALICZANIE EKWIWALENTU ZA URLOP WYPOCZYNKOWY” w sekcji [4].</t>
  </si>
  <si>
    <t>RU-27</t>
  </si>
  <si>
    <t>Widok</t>
  </si>
  <si>
    <t>Kolumny widoku rezerwy</t>
  </si>
  <si>
    <t>Plan „Rezerwa urlopowa” za 02/2026 naliczony.</t>
  </si>
  <si>
    <t>1. Kadry i płace → Pracownicy, Aktualność = ostatni dzień miesiąca rezerwy.
2. Ustawienia kolumn → kategoria „Rezerwa urlopowa”: Kod, Imię, Nazwisko, Rezerwa MPK … Rezerwa narzuty.</t>
  </si>
  <si>
    <t>Kolumny = wartości elementu planu za luty (zaległy/bieżący/wykorzystany w dniach, godziny, podstawy 1 i 2, kwota, narzuty). Aktualność 31.03 (brak planu) → zera.</t>
  </si>
  <si>
    <t>RU-28</t>
  </si>
  <si>
    <t>Ponowne naliczenie planu</t>
  </si>
  <si>
    <t>Plan za 02/2026 naliczony dwa razy (np. po korekcie urlopu).</t>
  </si>
  <si>
    <t>Kolumny pokazują wynik ostatniego naliczenia.</t>
  </si>
  <si>
    <t>RU-29</t>
  </si>
  <si>
    <t>MPK z wydziału nadrzędnego</t>
  </si>
  <si>
    <t>Wydział pracownika bez centrum kosztów, wydział nadrzędny z centrum „X”.</t>
  </si>
  <si>
    <t>Rezerwa MPK = X.</t>
  </si>
  <si>
    <t>RU-30</t>
  </si>
  <si>
    <t>Kolumny budżetu</t>
  </si>
  <si>
    <t>Plan „Budżet rezerwy urlopowej” za 08/2026 naliczony.</t>
  </si>
  <si>
    <t>1. Kadry i płace → Pracownicy, Aktualność = dowolny dzień sierpnia 2026.
2. Ustawienia kolumn → kategoria „Rezerwa urlopowa”: Kod, Imię, Nazwisko, Rezerwa MPK, Budżet ….</t>
  </si>
  <si>
    <t>Kolumny „Budżet …” = wartości elementu budżetu z RU-22; kolumny „Rezerwa …” niezależne (inny element).</t>
  </si>
  <si>
    <t>Wymiar etatu</t>
  </si>
  <si>
    <t>Godzin w dniu (8)</t>
  </si>
  <si>
    <t>Współczynnik do ekwiwalentu</t>
  </si>
  <si>
    <t>Zaległy (h)</t>
  </si>
  <si>
    <t>Należny roczny (h)</t>
  </si>
  <si>
    <t>Miesiąc rezerwy (1-12)</t>
  </si>
  <si>
    <t>Pierwszy urlop (1/0)</t>
  </si>
  <si>
    <t>Wykorzystany (h)</t>
  </si>
  <si>
    <t>M-2 razem (puste = brak wypłaty)</t>
  </si>
  <si>
    <t>M-1 razem</t>
  </si>
  <si>
    <t>M razem</t>
  </si>
  <si>
    <t>Bieżący prop. (h)</t>
  </si>
  <si>
    <t>Godziny rezerwy</t>
  </si>
  <si>
    <t>Stawka 1 h</t>
  </si>
  <si>
    <t>Kwota rezerwy</t>
  </si>
  <si>
    <t>Zaległy (dni)</t>
  </si>
  <si>
    <t>Bieżący (dni)</t>
  </si>
  <si>
    <t>Wykorzystany (dni)</t>
  </si>
  <si>
    <t>Kolumny M-2 / M-1 / M = zasadnicze nominalne + składniki wliczane do ekwiwalentu za miesiąc; PUSTE = brak wypłaty (miesiąc pomijany w średniej, jak w podstawie 2).</t>
  </si>
  <si>
    <t>Współczynnik 20,92 = wartość z konfiguracji bazy (średnia norma miesięczna); 0 = brak rezerwy.</t>
  </si>
  <si>
    <t>Zielone kolumny liczą się formułami tak samo jak algorytm elementu (wariant podstawy 1).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</si>
</sst>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7.7109375" customWidth="1"/>
    <col min="2" max="2" width="14.7109375" customWidth="1"/>
    <col min="3" max="3" width="30.710938" customWidth="1"/>
    <col min="4" max="4" width="48.710938" customWidth="1"/>
    <col min="5" max="5" width="42.710938" customWidth="1"/>
    <col min="6" max="6" width="60.710938" customWidth="1"/>
    <col min="7" max="7" width="30.710938" customWidth="1"/>
    <col min="8" max="8" width="12.7109375" customWidth="1"/>
    <col min="9" max="9" width="30.710938" customWidth="1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/>
    </row>
    <row r="3" ht="135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18</v>
      </c>
      <c r="G3" s="2"/>
      <c r="H3" s="2"/>
      <c r="I3" s="2"/>
    </row>
    <row r="4" ht="135">
      <c r="A4" s="2" t="s">
        <v>19</v>
      </c>
      <c r="B4" s="2" t="s">
        <v>10</v>
      </c>
      <c r="C4" s="2" t="s">
        <v>20</v>
      </c>
      <c r="D4" s="2" t="s">
        <v>21</v>
      </c>
      <c r="E4" s="2" t="s">
        <v>13</v>
      </c>
      <c r="F4" s="2" t="s">
        <v>22</v>
      </c>
      <c r="G4" s="2"/>
      <c r="H4" s="2"/>
      <c r="I4" s="2"/>
    </row>
    <row r="5" ht="135">
      <c r="A5" s="2" t="s">
        <v>23</v>
      </c>
      <c r="B5" s="2" t="s">
        <v>10</v>
      </c>
      <c r="C5" s="2" t="s">
        <v>24</v>
      </c>
      <c r="D5" s="2" t="s">
        <v>25</v>
      </c>
      <c r="E5" s="2" t="s">
        <v>13</v>
      </c>
      <c r="F5" s="2" t="s">
        <v>26</v>
      </c>
      <c r="G5" s="2"/>
      <c r="H5" s="2"/>
      <c r="I5" s="2"/>
    </row>
    <row r="6" ht="135">
      <c r="A6" s="2" t="s">
        <v>27</v>
      </c>
      <c r="B6" s="2" t="s">
        <v>10</v>
      </c>
      <c r="C6" s="2" t="s">
        <v>28</v>
      </c>
      <c r="D6" s="2" t="s">
        <v>29</v>
      </c>
      <c r="E6" s="2" t="s">
        <v>13</v>
      </c>
      <c r="F6" s="2" t="s">
        <v>30</v>
      </c>
      <c r="G6" s="2"/>
      <c r="H6" s="2"/>
      <c r="I6" s="2"/>
    </row>
    <row r="7" ht="135">
      <c r="A7" s="2" t="s">
        <v>31</v>
      </c>
      <c r="B7" s="2" t="s">
        <v>10</v>
      </c>
      <c r="C7" s="2" t="s">
        <v>32</v>
      </c>
      <c r="D7" s="2" t="s">
        <v>33</v>
      </c>
      <c r="E7" s="2" t="s">
        <v>13</v>
      </c>
      <c r="F7" s="2" t="s">
        <v>34</v>
      </c>
      <c r="G7" s="2"/>
      <c r="H7" s="2"/>
      <c r="I7" s="2"/>
    </row>
    <row r="8" ht="135">
      <c r="A8" s="2" t="s">
        <v>35</v>
      </c>
      <c r="B8" s="2" t="s">
        <v>10</v>
      </c>
      <c r="C8" s="2" t="s">
        <v>36</v>
      </c>
      <c r="D8" s="2" t="s">
        <v>37</v>
      </c>
      <c r="E8" s="2" t="s">
        <v>13</v>
      </c>
      <c r="F8" s="2" t="s">
        <v>38</v>
      </c>
      <c r="G8" s="2"/>
      <c r="H8" s="2"/>
      <c r="I8" s="2"/>
    </row>
    <row r="9" ht="135">
      <c r="A9" s="2" t="s">
        <v>39</v>
      </c>
      <c r="B9" s="2" t="s">
        <v>40</v>
      </c>
      <c r="C9" s="2" t="s">
        <v>41</v>
      </c>
      <c r="D9" s="2" t="s">
        <v>42</v>
      </c>
      <c r="E9" s="2" t="s">
        <v>13</v>
      </c>
      <c r="F9" s="2" t="s">
        <v>43</v>
      </c>
      <c r="G9" s="2"/>
      <c r="H9" s="2"/>
      <c r="I9" s="2"/>
    </row>
    <row r="10" ht="135">
      <c r="A10" s="2" t="s">
        <v>44</v>
      </c>
      <c r="B10" s="2" t="s">
        <v>40</v>
      </c>
      <c r="C10" s="2" t="s">
        <v>45</v>
      </c>
      <c r="D10" s="2" t="s">
        <v>46</v>
      </c>
      <c r="E10" s="2" t="s">
        <v>13</v>
      </c>
      <c r="F10" s="2" t="s">
        <v>47</v>
      </c>
      <c r="G10" s="2"/>
      <c r="H10" s="2"/>
      <c r="I10" s="2"/>
    </row>
    <row r="11" ht="135">
      <c r="A11" s="2" t="s">
        <v>48</v>
      </c>
      <c r="B11" s="2" t="s">
        <v>40</v>
      </c>
      <c r="C11" s="2" t="s">
        <v>49</v>
      </c>
      <c r="D11" s="2" t="s">
        <v>50</v>
      </c>
      <c r="E11" s="2" t="s">
        <v>13</v>
      </c>
      <c r="F11" s="2" t="s">
        <v>51</v>
      </c>
      <c r="G11" s="2"/>
      <c r="H11" s="2"/>
      <c r="I11" s="2"/>
    </row>
    <row r="12" ht="135">
      <c r="A12" s="2" t="s">
        <v>52</v>
      </c>
      <c r="B12" s="2" t="s">
        <v>40</v>
      </c>
      <c r="C12" s="2" t="s">
        <v>53</v>
      </c>
      <c r="D12" s="2" t="s">
        <v>54</v>
      </c>
      <c r="E12" s="2" t="s">
        <v>13</v>
      </c>
      <c r="F12" s="2" t="s">
        <v>55</v>
      </c>
      <c r="G12" s="2"/>
      <c r="H12" s="2"/>
      <c r="I12" s="2"/>
    </row>
    <row r="13" ht="135">
      <c r="A13" s="2" t="s">
        <v>56</v>
      </c>
      <c r="B13" s="2" t="s">
        <v>40</v>
      </c>
      <c r="C13" s="2" t="s">
        <v>57</v>
      </c>
      <c r="D13" s="2" t="s">
        <v>58</v>
      </c>
      <c r="E13" s="2" t="s">
        <v>13</v>
      </c>
      <c r="F13" s="2" t="s">
        <v>59</v>
      </c>
      <c r="G13" s="2"/>
      <c r="H13" s="2"/>
      <c r="I13" s="2"/>
    </row>
    <row r="14" ht="135">
      <c r="A14" s="2" t="s">
        <v>60</v>
      </c>
      <c r="B14" s="2" t="s">
        <v>40</v>
      </c>
      <c r="C14" s="2" t="s">
        <v>61</v>
      </c>
      <c r="D14" s="2" t="s">
        <v>62</v>
      </c>
      <c r="E14" s="2" t="s">
        <v>13</v>
      </c>
      <c r="F14" s="2" t="s">
        <v>63</v>
      </c>
      <c r="G14" s="2"/>
      <c r="H14" s="2"/>
      <c r="I14" s="2"/>
    </row>
    <row r="15" ht="13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13</v>
      </c>
      <c r="F15" s="2" t="s">
        <v>68</v>
      </c>
      <c r="G15" s="2"/>
      <c r="H15" s="2"/>
      <c r="I15" s="2"/>
    </row>
    <row r="16" ht="13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13</v>
      </c>
      <c r="F16" s="2" t="s">
        <v>73</v>
      </c>
      <c r="G16" s="2"/>
      <c r="H16" s="2"/>
      <c r="I16" s="2"/>
    </row>
    <row r="17" ht="13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13</v>
      </c>
      <c r="F17" s="2" t="s">
        <v>78</v>
      </c>
      <c r="G17" s="2"/>
      <c r="H17" s="2"/>
      <c r="I17" s="2"/>
    </row>
    <row r="18" ht="13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13</v>
      </c>
      <c r="F18" s="2" t="s">
        <v>83</v>
      </c>
      <c r="G18" s="2"/>
      <c r="H18" s="2"/>
      <c r="I18" s="2"/>
    </row>
    <row r="19" ht="135">
      <c r="A19" s="2" t="s">
        <v>84</v>
      </c>
      <c r="B19" s="2" t="s">
        <v>80</v>
      </c>
      <c r="C19" s="2" t="s">
        <v>85</v>
      </c>
      <c r="D19" s="2" t="s">
        <v>86</v>
      </c>
      <c r="E19" s="2" t="s">
        <v>13</v>
      </c>
      <c r="F19" s="2" t="s">
        <v>87</v>
      </c>
      <c r="G19" s="2"/>
      <c r="H19" s="2"/>
      <c r="I19" s="2"/>
    </row>
    <row r="20" ht="135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13</v>
      </c>
      <c r="F20" s="2" t="s">
        <v>92</v>
      </c>
      <c r="G20" s="2"/>
      <c r="H20" s="2"/>
      <c r="I20" s="2"/>
    </row>
    <row r="21" ht="30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98</v>
      </c>
      <c r="G21" s="2"/>
      <c r="H21" s="2"/>
      <c r="I21" s="2"/>
    </row>
    <row r="22" ht="16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104</v>
      </c>
      <c r="G22" s="2"/>
      <c r="H22" s="2"/>
      <c r="I22" s="2"/>
    </row>
    <row r="23" ht="90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  <c r="G23" s="2"/>
      <c r="H23" s="2"/>
      <c r="I23" s="2"/>
    </row>
    <row r="24" ht="30">
      <c r="A24" s="2" t="s">
        <v>111</v>
      </c>
      <c r="B24" s="2" t="s">
        <v>106</v>
      </c>
      <c r="C24" s="2" t="s">
        <v>112</v>
      </c>
      <c r="D24" s="2" t="s">
        <v>113</v>
      </c>
      <c r="E24" s="2" t="s">
        <v>114</v>
      </c>
      <c r="F24" s="2" t="s">
        <v>115</v>
      </c>
      <c r="G24" s="2"/>
      <c r="H24" s="2"/>
      <c r="I24" s="2"/>
    </row>
    <row r="25" ht="90">
      <c r="A25" s="2" t="s">
        <v>116</v>
      </c>
      <c r="B25" s="2" t="s">
        <v>106</v>
      </c>
      <c r="C25" s="2" t="s">
        <v>117</v>
      </c>
      <c r="D25" s="2" t="s">
        <v>118</v>
      </c>
      <c r="E25" s="2" t="s">
        <v>109</v>
      </c>
      <c r="F25" s="2" t="s">
        <v>119</v>
      </c>
      <c r="G25" s="2"/>
      <c r="H25" s="2"/>
      <c r="I25" s="2"/>
    </row>
    <row r="26" ht="135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13</v>
      </c>
      <c r="F26" s="2" t="s">
        <v>124</v>
      </c>
      <c r="G26" s="2"/>
      <c r="H26" s="2"/>
      <c r="I26" s="2"/>
    </row>
    <row r="27" ht="135">
      <c r="A27" s="2" t="s">
        <v>125</v>
      </c>
      <c r="B27" s="2" t="s">
        <v>121</v>
      </c>
      <c r="C27" s="2" t="s">
        <v>126</v>
      </c>
      <c r="D27" s="2" t="s">
        <v>127</v>
      </c>
      <c r="E27" s="2" t="s">
        <v>13</v>
      </c>
      <c r="F27" s="2" t="s">
        <v>128</v>
      </c>
      <c r="G27" s="2"/>
      <c r="H27" s="2"/>
      <c r="I27" s="2"/>
    </row>
    <row r="28" ht="7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134</v>
      </c>
      <c r="G28" s="2"/>
      <c r="H28" s="2"/>
      <c r="I28" s="2"/>
    </row>
    <row r="29" ht="75">
      <c r="A29" s="2" t="s">
        <v>135</v>
      </c>
      <c r="B29" s="2" t="s">
        <v>130</v>
      </c>
      <c r="C29" s="2" t="s">
        <v>136</v>
      </c>
      <c r="D29" s="2" t="s">
        <v>137</v>
      </c>
      <c r="E29" s="2" t="s">
        <v>133</v>
      </c>
      <c r="F29" s="2" t="s">
        <v>138</v>
      </c>
      <c r="G29" s="2"/>
      <c r="H29" s="2"/>
      <c r="I29" s="2"/>
    </row>
    <row r="30" ht="75">
      <c r="A30" s="2" t="s">
        <v>139</v>
      </c>
      <c r="B30" s="2" t="s">
        <v>130</v>
      </c>
      <c r="C30" s="2" t="s">
        <v>140</v>
      </c>
      <c r="D30" s="2" t="s">
        <v>141</v>
      </c>
      <c r="E30" s="2" t="s">
        <v>133</v>
      </c>
      <c r="F30" s="2" t="s">
        <v>142</v>
      </c>
      <c r="G30" s="2"/>
      <c r="H30" s="2"/>
      <c r="I30" s="2"/>
    </row>
    <row r="31" ht="75">
      <c r="A31" s="2" t="s">
        <v>143</v>
      </c>
      <c r="B31" s="2" t="s">
        <v>130</v>
      </c>
      <c r="C31" s="2" t="s">
        <v>144</v>
      </c>
      <c r="D31" s="2" t="s">
        <v>145</v>
      </c>
      <c r="E31" s="2" t="s">
        <v>146</v>
      </c>
      <c r="F31" s="2" t="s">
        <v>147</v>
      </c>
      <c r="G31" s="2"/>
      <c r="H31" s="2"/>
      <c r="I31" s="2"/>
    </row>
  </sheetData>
  <autoFilter ref="A1:I3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2" xSplit="1" ySplit="1"/>
      <selection pane="topRight" activeCell="B1" sqref="B1"/>
      <selection pane="bottomLeft" activeCell="A2" sqref="A2"/>
    </sheetView>
  </sheetViews>
  <sheetFormatPr defaultRowHeight="15"/>
  <cols>
    <col min="1" max="1" width="13.71093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  <col min="15" max="15" width="13.7109375" customWidth="1"/>
    <col min="16" max="16" width="13.7109375" customWidth="1"/>
    <col min="17" max="17" width="13.7109375" customWidth="1"/>
    <col min="18" max="18" width="13.7109375" customWidth="1"/>
    <col min="19" max="19" width="13.7109375" customWidth="1"/>
    <col min="20" max="20" width="13.7109375" customWidth="1"/>
  </cols>
  <sheetData>
    <row r="1" ht="45">
      <c r="A1" s="3" t="s">
        <v>0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4" t="s">
        <v>159</v>
      </c>
      <c r="N1" s="4" t="s">
        <v>160</v>
      </c>
      <c r="O1" s="4" t="s">
        <v>40</v>
      </c>
      <c r="P1" s="4" t="s">
        <v>161</v>
      </c>
      <c r="Q1" s="4" t="s">
        <v>162</v>
      </c>
      <c r="R1" s="4" t="s">
        <v>163</v>
      </c>
      <c r="S1" s="4" t="s">
        <v>164</v>
      </c>
      <c r="T1" s="4" t="s">
        <v>165</v>
      </c>
    </row>
    <row r="2">
      <c r="A2" t="s">
        <v>9</v>
      </c>
      <c r="B2">
        <v>1</v>
      </c>
      <c r="C2">
        <v>8</v>
      </c>
      <c r="D2">
        <v>20.920000000000002</v>
      </c>
      <c r="E2">
        <v>0</v>
      </c>
      <c r="F2">
        <v>208</v>
      </c>
      <c r="G2">
        <v>2</v>
      </c>
      <c r="H2">
        <v>0</v>
      </c>
      <c r="I2">
        <v>24</v>
      </c>
      <c r="J2">
        <v>6000</v>
      </c>
      <c r="K2">
        <v>6000</v>
      </c>
      <c r="L2">
        <v>6000</v>
      </c>
      <c r="M2" s="5">
        <f>IF(H2=1,F2*G2/12,CEILING(ROUND(F2*G2/12/(C2*B2),6),1)*C2*B2)</f>
        <v>40</v>
      </c>
      <c r="N2" s="5">
        <f>MAX(0,E2+M2-I2)</f>
        <v>16</v>
      </c>
      <c r="O2" s="5">
        <f>ROUND(AVERAGE(J2:L2),2)</f>
        <v>6000</v>
      </c>
      <c r="P2" s="6">
        <f>O2/(D2*B2)/C2</f>
        <v>35.850860420650093</v>
      </c>
      <c r="Q2" s="5">
        <f>ROUND(N2*P2,2)</f>
        <v>573.61000000000001</v>
      </c>
      <c r="R2" s="5">
        <f>ROUND(E2/(C2*B2),2)</f>
        <v>0</v>
      </c>
      <c r="S2" s="5">
        <f>ROUND(M2/(C2*B2),2)</f>
        <v>5</v>
      </c>
      <c r="T2" s="5">
        <f>ROUND(I2/(C2*B2),2)</f>
        <v>3</v>
      </c>
    </row>
    <row r="3">
      <c r="A3" t="s">
        <v>15</v>
      </c>
      <c r="B3">
        <v>1</v>
      </c>
      <c r="C3">
        <v>8</v>
      </c>
      <c r="D3">
        <v>20.920000000000002</v>
      </c>
      <c r="E3">
        <v>40</v>
      </c>
      <c r="F3">
        <v>208</v>
      </c>
      <c r="G3">
        <v>5</v>
      </c>
      <c r="H3">
        <v>0</v>
      </c>
      <c r="I3">
        <v>80</v>
      </c>
      <c r="J3">
        <v>6000</v>
      </c>
      <c r="K3">
        <v>6000</v>
      </c>
      <c r="L3">
        <v>6000</v>
      </c>
      <c r="M3" s="5">
        <f>IF(H3=1,F3*G3/12,CEILING(ROUND(F3*G3/12/(C3*B3),6),1)*C3*B3)</f>
        <v>88</v>
      </c>
      <c r="N3" s="5">
        <f>MAX(0,E3+M3-I3)</f>
        <v>48</v>
      </c>
      <c r="O3" s="5">
        <f>ROUND(AVERAGE(J3:L3),2)</f>
        <v>6000</v>
      </c>
      <c r="P3" s="6">
        <f>O3/(D3*B3)/C3</f>
        <v>35.850860420650093</v>
      </c>
      <c r="Q3" s="5">
        <f>ROUND(N3*P3,2)</f>
        <v>1720.8399999999999</v>
      </c>
      <c r="R3" s="5">
        <f>ROUND(E3/(C3*B3),2)</f>
        <v>5</v>
      </c>
      <c r="S3" s="5">
        <f>ROUND(M3/(C3*B3),2)</f>
        <v>11</v>
      </c>
      <c r="T3" s="5">
        <f>ROUND(I3/(C3*B3),2)</f>
        <v>10</v>
      </c>
    </row>
    <row r="4">
      <c r="A4" t="s">
        <v>19</v>
      </c>
      <c r="B4">
        <v>0.5</v>
      </c>
      <c r="C4">
        <v>8</v>
      </c>
      <c r="D4">
        <v>20.920000000000002</v>
      </c>
      <c r="E4">
        <v>0</v>
      </c>
      <c r="F4">
        <v>104</v>
      </c>
      <c r="G4">
        <v>6</v>
      </c>
      <c r="H4">
        <v>0</v>
      </c>
      <c r="I4">
        <v>16</v>
      </c>
      <c r="J4">
        <v>3000</v>
      </c>
      <c r="K4">
        <v>3000</v>
      </c>
      <c r="L4">
        <v>3000</v>
      </c>
      <c r="M4" s="5">
        <f>IF(H4=1,F4*G4/12,CEILING(ROUND(F4*G4/12/(C4*B4),6),1)*C4*B4)</f>
        <v>52</v>
      </c>
      <c r="N4" s="5">
        <f>MAX(0,E4+M4-I4)</f>
        <v>36</v>
      </c>
      <c r="O4" s="5">
        <f>ROUND(AVERAGE(J4:L4),2)</f>
        <v>3000</v>
      </c>
      <c r="P4" s="6">
        <f>O4/(D4*B4)/C4</f>
        <v>35.850860420650093</v>
      </c>
      <c r="Q4" s="5">
        <f>ROUND(N4*P4,2)</f>
        <v>1290.6300000000001</v>
      </c>
      <c r="R4" s="5">
        <f>ROUND(E4/(C4*B4),2)</f>
        <v>0</v>
      </c>
      <c r="S4" s="5">
        <f>ROUND(M4/(C4*B4),2)</f>
        <v>13</v>
      </c>
      <c r="T4" s="5">
        <f>ROUND(I4/(C4*B4),2)</f>
        <v>4</v>
      </c>
    </row>
    <row r="5">
      <c r="A5" t="s">
        <v>23</v>
      </c>
      <c r="B5">
        <v>1</v>
      </c>
      <c r="C5">
        <v>8</v>
      </c>
      <c r="D5">
        <v>20.920000000000002</v>
      </c>
      <c r="E5">
        <v>0</v>
      </c>
      <c r="F5">
        <v>208</v>
      </c>
      <c r="G5">
        <v>10</v>
      </c>
      <c r="H5">
        <v>1</v>
      </c>
      <c r="I5">
        <v>0</v>
      </c>
      <c r="J5">
        <v>6000</v>
      </c>
      <c r="K5">
        <v>6000</v>
      </c>
      <c r="L5">
        <v>6000</v>
      </c>
      <c r="M5" s="5">
        <f>IF(H5=1,F5*G5/12,CEILING(ROUND(F5*G5/12/(C5*B5),6),1)*C5*B5)</f>
        <v>173.33333333333334</v>
      </c>
      <c r="N5" s="5">
        <f>MAX(0,E5+M5-I5)</f>
        <v>173.33333333333334</v>
      </c>
      <c r="O5" s="5">
        <f>ROUND(AVERAGE(J5:L5),2)</f>
        <v>6000</v>
      </c>
      <c r="P5" s="6">
        <f>O5/(D5*B5)/C5</f>
        <v>35.850860420650093</v>
      </c>
      <c r="Q5" s="5">
        <f>ROUND(N5*P5,2)</f>
        <v>6214.1499999999996</v>
      </c>
      <c r="R5" s="5">
        <f>ROUND(E5/(C5*B5),2)</f>
        <v>0</v>
      </c>
      <c r="S5" s="5">
        <f>ROUND(M5/(C5*B5),2)</f>
        <v>21.670000000000002</v>
      </c>
      <c r="T5" s="5">
        <f>ROUND(I5/(C5*B5),2)</f>
        <v>0</v>
      </c>
    </row>
    <row r="6">
      <c r="A6" t="s">
        <v>39</v>
      </c>
      <c r="B6">
        <v>1</v>
      </c>
      <c r="C6">
        <v>8</v>
      </c>
      <c r="D6">
        <v>20.920000000000002</v>
      </c>
      <c r="E6">
        <v>0</v>
      </c>
      <c r="F6">
        <v>208</v>
      </c>
      <c r="G6">
        <v>2</v>
      </c>
      <c r="H6">
        <v>0</v>
      </c>
      <c r="I6">
        <v>24</v>
      </c>
      <c r="J6">
        <v>7200</v>
      </c>
      <c r="K6">
        <v>6000</v>
      </c>
      <c r="L6">
        <v>6600</v>
      </c>
      <c r="M6" s="5">
        <f>IF(H6=1,F6*G6/12,CEILING(ROUND(F6*G6/12/(C6*B6),6),1)*C6*B6)</f>
        <v>40</v>
      </c>
      <c r="N6" s="5">
        <f>MAX(0,E6+M6-I6)</f>
        <v>16</v>
      </c>
      <c r="O6" s="5">
        <f>ROUND(AVERAGE(J6:L6),2)</f>
        <v>6600</v>
      </c>
      <c r="P6" s="6">
        <f>O6/(D6*B6)/C6</f>
        <v>39.435946462715101</v>
      </c>
      <c r="Q6" s="5">
        <f>ROUND(N6*P6,2)</f>
        <v>630.98000000000002</v>
      </c>
      <c r="R6" s="5">
        <f>ROUND(E6/(C6*B6),2)</f>
        <v>0</v>
      </c>
      <c r="S6" s="5">
        <f>ROUND(M6/(C6*B6),2)</f>
        <v>5</v>
      </c>
      <c r="T6" s="5">
        <f>ROUND(I6/(C6*B6),2)</f>
        <v>3</v>
      </c>
    </row>
    <row r="7">
      <c r="A7" t="s">
        <v>44</v>
      </c>
      <c r="B7">
        <v>1</v>
      </c>
      <c r="C7">
        <v>8</v>
      </c>
      <c r="D7">
        <v>20.920000000000002</v>
      </c>
      <c r="E7">
        <v>0</v>
      </c>
      <c r="F7">
        <v>208</v>
      </c>
      <c r="G7">
        <v>2</v>
      </c>
      <c r="H7">
        <v>0</v>
      </c>
      <c r="I7">
        <v>24</v>
      </c>
      <c r="J7">
        <v>6000</v>
      </c>
      <c r="K7">
        <v>6000</v>
      </c>
      <c r="L7">
        <v>7000</v>
      </c>
      <c r="M7" s="5">
        <f>IF(H7=1,F7*G7/12,CEILING(ROUND(F7*G7/12/(C7*B7),6),1)*C7*B7)</f>
        <v>40</v>
      </c>
      <c r="N7" s="5">
        <f>MAX(0,E7+M7-I7)</f>
        <v>16</v>
      </c>
      <c r="O7" s="5">
        <f>ROUND(AVERAGE(J7:L7),2)</f>
        <v>6333.3299999999999</v>
      </c>
      <c r="P7" s="6">
        <f>O7/(D7*B7)/C7</f>
        <v>37.842554971319309</v>
      </c>
      <c r="Q7" s="5">
        <f>ROUND(N7*P7,2)</f>
        <v>605.48000000000002</v>
      </c>
      <c r="R7" s="5">
        <f>ROUND(E7/(C7*B7),2)</f>
        <v>0</v>
      </c>
      <c r="S7" s="5">
        <f>ROUND(M7/(C7*B7),2)</f>
        <v>5</v>
      </c>
      <c r="T7" s="5">
        <f>ROUND(I7/(C7*B7),2)</f>
        <v>3</v>
      </c>
    </row>
    <row r="8">
      <c r="A8" t="s">
        <v>48</v>
      </c>
      <c r="B8">
        <v>1</v>
      </c>
      <c r="C8">
        <v>8</v>
      </c>
      <c r="D8">
        <v>20.920000000000002</v>
      </c>
      <c r="E8">
        <v>0</v>
      </c>
      <c r="F8">
        <v>208</v>
      </c>
      <c r="G8">
        <v>10</v>
      </c>
      <c r="H8">
        <v>0</v>
      </c>
      <c r="I8">
        <v>0</v>
      </c>
      <c r="J8">
        <v>6300</v>
      </c>
      <c r="L8">
        <v>6400</v>
      </c>
      <c r="M8" s="5">
        <f>IF(H8=1,F8*G8/12,CEILING(ROUND(F8*G8/12/(C8*B8),6),1)*C8*B8)</f>
        <v>176</v>
      </c>
      <c r="N8" s="5">
        <f>MAX(0,E8+M8-I8)</f>
        <v>176</v>
      </c>
      <c r="O8" s="5">
        <f>ROUND(AVERAGE(J8:L8),2)</f>
        <v>6350</v>
      </c>
      <c r="P8" s="6">
        <f>O8/(D8*B8)/C8</f>
        <v>37.942160611854682</v>
      </c>
      <c r="Q8" s="5">
        <f>ROUND(N8*P8,2)</f>
        <v>6677.8199999999997</v>
      </c>
      <c r="R8" s="5">
        <f>ROUND(E8/(C8*B8),2)</f>
        <v>0</v>
      </c>
      <c r="S8" s="5">
        <f>ROUND(M8/(C8*B8),2)</f>
        <v>22</v>
      </c>
      <c r="T8" s="5">
        <f>ROUND(I8/(C8*B8),2)</f>
        <v>0</v>
      </c>
    </row>
    <row r="9">
      <c r="A9" t="s">
        <v>52</v>
      </c>
      <c r="B9">
        <v>1</v>
      </c>
      <c r="C9">
        <v>8</v>
      </c>
      <c r="D9">
        <v>20.920000000000002</v>
      </c>
      <c r="E9">
        <v>0</v>
      </c>
      <c r="F9">
        <v>208</v>
      </c>
      <c r="G9">
        <v>2</v>
      </c>
      <c r="H9">
        <v>0</v>
      </c>
      <c r="I9">
        <v>0</v>
      </c>
      <c r="K9">
        <v>6000</v>
      </c>
      <c r="L9">
        <v>6000</v>
      </c>
      <c r="M9" s="5">
        <f>IF(H9=1,F9*G9/12,CEILING(ROUND(F9*G9/12/(C9*B9),6),1)*C9*B9)</f>
        <v>40</v>
      </c>
      <c r="N9" s="5">
        <f>MAX(0,E9+M9-I9)</f>
        <v>40</v>
      </c>
      <c r="O9" s="5">
        <f>ROUND(AVERAGE(J9:L9),2)</f>
        <v>6000</v>
      </c>
      <c r="P9" s="6">
        <f>O9/(D9*B9)/C9</f>
        <v>35.850860420650093</v>
      </c>
      <c r="Q9" s="5">
        <f>ROUND(N9*P9,2)</f>
        <v>1434.03</v>
      </c>
      <c r="R9" s="5">
        <f>ROUND(E9/(C9*B9),2)</f>
        <v>0</v>
      </c>
      <c r="S9" s="5">
        <f>ROUND(M9/(C9*B9),2)</f>
        <v>5</v>
      </c>
      <c r="T9" s="5">
        <f>ROUND(I9/(C9*B9),2)</f>
        <v>0</v>
      </c>
    </row>
    <row r="11">
      <c r="A11" t="s">
        <v>166</v>
      </c>
    </row>
    <row r="12">
      <c r="A12" t="s">
        <v>167</v>
      </c>
    </row>
    <row r="13">
      <c r="A13" t="s">
        <v>168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2026-10-09T16:16:45Z</dcterms:created>
  <dcterms:modified xsi:type="dcterms:W3CDTF">2026-10-09T16:16:46Z</dcterms:modified>
</cp:coreProperties>
</file>